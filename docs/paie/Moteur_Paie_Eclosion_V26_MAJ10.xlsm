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6" autoFilterDateGrouping="1"/>
  </bookViews>
  <sheets>
    <sheet xmlns:r="http://schemas.openxmlformats.org/officeDocument/2006/relationships" name="Accueil" sheetId="1" state="visible" r:id="rId1"/>
    <sheet xmlns:r="http://schemas.openxmlformats.org/officeDocument/2006/relationships" name="Tableau de bord" sheetId="2" state="visible" r:id="rId2"/>
    <sheet xmlns:r="http://schemas.openxmlformats.org/officeDocument/2006/relationships" name="Paramètres" sheetId="3" state="visible" r:id="rId3"/>
    <sheet xmlns:r="http://schemas.openxmlformats.org/officeDocument/2006/relationships" name="Employés" sheetId="4" state="visible" r:id="rId4"/>
    <sheet xmlns:r="http://schemas.openxmlformats.org/officeDocument/2006/relationships" name="Retenues internes" sheetId="5" state="visible" r:id="rId5"/>
    <sheet xmlns:r="http://schemas.openxmlformats.org/officeDocument/2006/relationships" name="Livre de paie" sheetId="6" state="visible" r:id="rId6"/>
    <sheet xmlns:r="http://schemas.openxmlformats.org/officeDocument/2006/relationships" name="Bulletin" sheetId="7" state="visible" r:id="rId7"/>
    <sheet xmlns:r="http://schemas.openxmlformats.org/officeDocument/2006/relationships" name="Journal de paie" sheetId="8" state="visible" r:id="rId8"/>
    <sheet xmlns:r="http://schemas.openxmlformats.org/officeDocument/2006/relationships" name="Déclarations CNPS" sheetId="9" state="visible" r:id="rId9"/>
    <sheet xmlns:r="http://schemas.openxmlformats.org/officeDocument/2006/relationships" name="Déclarations fiscales" sheetId="10" state="visible" r:id="rId10"/>
    <sheet xmlns:r="http://schemas.openxmlformats.org/officeDocument/2006/relationships" name="Guide Développeur" sheetId="11" state="hidden" r:id="rId11"/>
  </sheets>
  <definedNames>
    <definedName name="ABAT_FIXE" hidden="0" function="0" vbProcedure="0">Paramètres!$C$51</definedName>
    <definedName name="ABAT_PCT" hidden="0" function="0" vbProcedure="0">Paramètres!$C$50</definedName>
    <definedName name="COEF_ASSIETTE" hidden="0" function="0" vbProcedure="0">Paramètres!$C$56</definedName>
    <definedName name="DATE_PAIEMENT" hidden="0" function="0" vbProcedure="0">Paramètres!$B$4</definedName>
    <definedName name="HEURES_MOIS" hidden="0" function="0" vbProcedure="0">Paramètres!$C$57</definedName>
    <definedName name="IRPP_P1" hidden="0" function="0" vbProcedure="0">Paramètres!$B$70</definedName>
    <definedName name="IRPP_P2" hidden="0" function="0" vbProcedure="0">Paramètres!$D$70</definedName>
    <definedName name="IRPP_P3" hidden="0" function="0" vbProcedure="0">Paramètres!$F$70</definedName>
    <definedName name="IRPP_T1" hidden="0" function="0" vbProcedure="0">Paramètres!$C$70</definedName>
    <definedName name="IRPP_T2" hidden="0" function="0" vbProcedure="0">Paramètres!$E$70</definedName>
    <definedName name="IRPP_T3" hidden="0" function="0" vbProcedure="0">Paramètres!$G$70</definedName>
    <definedName name="IRPP_T4" hidden="0" function="0" vbProcedure="0">Paramètres!$H$70</definedName>
    <definedName name="LISTE_DEPTS" hidden="0" function="0" vbProcedure="0">Paramètres!$A$84:$A$93</definedName>
    <definedName name="LISTE_MATRICULES" hidden="0" function="0" vbProcedure="0">Employés!$A$5:$A$64</definedName>
    <definedName name="PERIODE_DATE" hidden="0" function="0" vbProcedure="0">Paramètres!$B$3</definedName>
    <definedName name="PERIODE_LIBELLE" hidden="0" function="0" vbProcedure="0">Paramètres!$C$3</definedName>
    <definedName name="PLAFOND_CNPS" hidden="0" function="0" vbProcedure="0">Paramètres!$C$49</definedName>
    <definedName name="RAV_V1" hidden="0" function="0" vbProcedure="0">Paramètres!$D$81</definedName>
    <definedName name="RAV_V2" hidden="0" function="0" vbProcedure="0">Paramètres!$G$81</definedName>
    <definedName name="RAV_V3" hidden="0" function="0" vbProcedure="0">Paramètres!$I$81</definedName>
    <definedName name="TC_S1" hidden="0" function="0" vbProcedure="0">Paramètres!$B$81</definedName>
    <definedName name="TC_S2" hidden="0" function="0" vbProcedure="0">Paramètres!$E$81</definedName>
    <definedName name="TC_V1" hidden="0" function="0" vbProcedure="0">Paramètres!$C$81</definedName>
    <definedName name="TC_V2" hidden="0" function="0" vbProcedure="0">Paramètres!$F$81</definedName>
    <definedName name="TC_V3" hidden="0" function="0" vbProcedure="0">Paramètres!$H$81</definedName>
    <definedName name="TX_ANC_DEF" hidden="0" function="0" vbProcedure="0">Paramètres!$C$58</definedName>
    <definedName name="TX_AT" hidden="0" function="0" vbProcedure="0">Paramètres!$C$48</definedName>
    <definedName name="TX_CAC" hidden="0" function="0" vbProcedure="0">Paramètres!$C$52</definedName>
    <definedName name="TX_CFC_PAT" hidden="0" function="0" vbProcedure="0">Paramètres!$C$54</definedName>
    <definedName name="TX_CFC_SAL" hidden="0" function="0" vbProcedure="0">Paramètres!$C$53</definedName>
    <definedName name="TX_FNE" hidden="0" function="0" vbProcedure="0">Paramètres!$C$55</definedName>
    <definedName name="TX_PF" hidden="0" function="0" vbProcedure="0">Paramètres!$C$47</definedName>
    <definedName name="TX_VID_PAT" hidden="0" function="0" vbProcedure="0">Paramètres!$C$46</definedName>
    <definedName name="TX_VID_SAL" hidden="0" function="0" vbProcedure="0">Paramètres!$C$45</definedName>
    <definedName name="_xlnm.Print_Area" localSheetId="6">'Bulletin'!$A$1:$F$57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5">
    <numFmt numFmtId="164" formatCode="0.0"/>
    <numFmt numFmtId="165" formatCode="mm/yyyy"/>
    <numFmt numFmtId="166" formatCode="m/d/yyyy"/>
    <numFmt numFmtId="167" formatCode="#,##0&quot; FCFA&quot;"/>
    <numFmt numFmtId="168" formatCode="DD/MM/YYYY"/>
  </numFmts>
  <fonts count="29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Arial"/>
      <charset val="1"/>
      <family val="0"/>
      <b val="1"/>
      <color rgb="FF1B2A4A"/>
      <sz val="18"/>
    </font>
    <font>
      <name val="Arial"/>
      <charset val="1"/>
      <family val="0"/>
      <b val="1"/>
      <color rgb="FF806515"/>
      <sz val="12"/>
    </font>
    <font>
      <name val="Arial"/>
      <charset val="1"/>
      <family val="0"/>
      <b val="1"/>
      <color rgb="FF1B2A4A"/>
      <sz val="10"/>
    </font>
    <font>
      <name val="Arial"/>
      <charset val="1"/>
      <family val="0"/>
      <color rgb="FF333333"/>
      <sz val="9"/>
    </font>
    <font>
      <name val="Arial"/>
      <charset val="1"/>
      <family val="0"/>
      <b val="1"/>
      <color rgb="FFFFFFFF"/>
      <sz val="14"/>
    </font>
    <font>
      <name val="Arial"/>
      <charset val="1"/>
      <family val="0"/>
      <b val="1"/>
      <color rgb="FFFFFFFF"/>
      <sz val="9"/>
    </font>
    <font>
      <name val="Arial"/>
      <charset val="1"/>
      <family val="0"/>
      <b val="1"/>
      <color rgb="FF1B2A4A"/>
      <sz val="13"/>
    </font>
    <font>
      <name val="Arial"/>
      <charset val="1"/>
      <family val="0"/>
      <sz val="9"/>
    </font>
    <font>
      <name val="Calibri"/>
      <family val="2"/>
      <b val="1"/>
      <color rgb="FF000000"/>
      <sz val="18"/>
    </font>
    <font>
      <name val="Calibri"/>
      <family val="2"/>
      <color rgb="FF000000"/>
      <sz val="10"/>
    </font>
    <font>
      <name val="Calibri"/>
      <family val="2"/>
      <b val="1"/>
      <color rgb="FF000000"/>
      <sz val="10"/>
    </font>
    <font>
      <name val="Arial"/>
      <charset val="1"/>
      <family val="0"/>
      <b val="1"/>
      <color rgb="FFFFFFFF"/>
      <sz val="12"/>
    </font>
    <font>
      <name val="Arial"/>
      <charset val="1"/>
      <family val="0"/>
      <color rgb="FF0000FF"/>
      <sz val="9"/>
    </font>
    <font>
      <name val="Arial"/>
      <charset val="1"/>
      <family val="0"/>
      <b val="1"/>
      <color rgb="FF1B2A4A"/>
      <sz val="9"/>
    </font>
    <font>
      <name val="Arial"/>
      <charset val="1"/>
      <family val="0"/>
      <b val="1"/>
      <color rgb="FFFFFFFF"/>
      <sz val="13"/>
    </font>
    <font>
      <name val="Arial"/>
      <charset val="1"/>
      <family val="0"/>
      <b val="1"/>
      <color rgb="FFFFFFFF"/>
      <sz val="8"/>
    </font>
    <font>
      <name val="Georgia"/>
      <charset val="1"/>
      <family val="0"/>
      <b val="1"/>
      <color rgb="FF1B2A4A"/>
      <sz val="16"/>
    </font>
    <font>
      <name val="Arial"/>
      <charset val="1"/>
      <family val="0"/>
      <b val="1"/>
      <color rgb="FF0000FF"/>
      <sz val="10"/>
    </font>
    <font>
      <name val="Arial"/>
      <charset val="1"/>
      <family val="0"/>
      <b val="1"/>
      <color rgb="FF806515"/>
      <sz val="8"/>
    </font>
    <font>
      <name val="Arial"/>
      <charset val="1"/>
      <family val="0"/>
      <b val="1"/>
      <color rgb="FF1B2A4A"/>
      <sz val="8"/>
    </font>
    <font>
      <name val="Arial"/>
      <charset val="1"/>
      <family val="0"/>
      <color rgb="FF333333"/>
      <sz val="8"/>
    </font>
    <font>
      <name val="Arial"/>
      <charset val="1"/>
      <family val="0"/>
      <i val="1"/>
      <color rgb="FF555555"/>
      <sz val="7.5"/>
    </font>
    <font>
      <name val="Georgia"/>
      <charset val="1"/>
      <family val="0"/>
      <b val="1"/>
      <color rgb="FF1B2A4A"/>
      <sz val="14"/>
    </font>
    <font>
      <name val="Arial"/>
      <charset val="1"/>
      <family val="0"/>
      <b val="1"/>
      <color rgb="FFFFFFFF"/>
      <sz val="11"/>
    </font>
    <font>
      <name val="Arial"/>
      <charset val="1"/>
      <family val="0"/>
      <b val="1"/>
      <color rgb="FF806515"/>
      <sz val="9"/>
    </font>
  </fonts>
  <fills count="6">
    <fill>
      <patternFill/>
    </fill>
    <fill>
      <patternFill patternType="gray125"/>
    </fill>
    <fill>
      <patternFill patternType="solid">
        <fgColor rgb="FFF2F0EA"/>
        <bgColor rgb="FFDCE9F7"/>
      </patternFill>
    </fill>
    <fill>
      <patternFill patternType="solid">
        <fgColor rgb="FF1B2A4A"/>
        <bgColor rgb="FF333333"/>
      </patternFill>
    </fill>
    <fill>
      <patternFill patternType="solid">
        <fgColor rgb="FFDCE9F7"/>
        <bgColor rgb="FFF2F0EA"/>
      </patternFill>
    </fill>
    <fill>
      <patternFill patternType="solid">
        <fgColor rgb="FFC9A84C"/>
        <bgColor rgb="FFB0B0B0"/>
      </patternFill>
    </fill>
  </fills>
  <borders count="9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/>
      <right/>
      <top/>
      <bottom style="medium">
        <color rgb="FFC9A84C"/>
      </bottom>
      <diagonal/>
    </border>
    <border>
      <left/>
      <right style="thin">
        <color rgb="FFB0B0B0"/>
      </right>
      <top/>
      <bottom/>
      <diagonal/>
    </border>
    <border>
      <left/>
      <right/>
      <top style="medium">
        <color rgb="FFC9A84C"/>
      </top>
      <bottom/>
      <diagonal/>
    </border>
    <border>
      <left/>
      <right/>
      <top style="thin">
        <color rgb="FFB0B0B0"/>
      </top>
      <bottom/>
      <diagonal/>
    </border>
    <border>
      <left/>
      <right style="thin">
        <color rgb="FFB0B0B0"/>
      </right>
      <top style="thin">
        <color rgb="FFB0B0B0"/>
      </top>
      <bottom/>
      <diagonal/>
    </border>
    <border>
      <left/>
      <right/>
      <top style="thin">
        <color rgb="FFB0B0B0"/>
      </top>
      <bottom style="thin">
        <color rgb="FFB0B0B0"/>
      </bottom>
      <diagonal/>
    </border>
    <border>
      <left/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41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bottom"/>
    </xf>
    <xf numFmtId="0" fontId="6" fillId="2" borderId="0" applyAlignment="1" pivotButton="0" quotePrefix="0" xfId="0">
      <alignment horizontal="general" vertical="top" wrapText="1"/>
    </xf>
    <xf numFmtId="0" fontId="7" fillId="0" borderId="0" applyAlignment="1" pivotButton="0" quotePrefix="0" xfId="0">
      <alignment horizontal="general" vertical="top" wrapText="1"/>
    </xf>
    <xf numFmtId="0" fontId="8" fillId="3" borderId="0" applyAlignment="1" pivotButton="0" quotePrefix="0" xfId="0">
      <alignment horizontal="general" vertical="bottom"/>
    </xf>
    <xf numFmtId="0" fontId="9" fillId="3" borderId="0" applyAlignment="1" pivotButton="0" quotePrefix="0" xfId="0">
      <alignment horizontal="center" vertical="center" wrapText="1"/>
    </xf>
    <xf numFmtId="1" fontId="10" fillId="0" borderId="0" applyAlignment="1" pivotButton="0" quotePrefix="0" xfId="0">
      <alignment horizontal="general" vertical="bottom"/>
    </xf>
    <xf numFmtId="3" fontId="10" fillId="0" borderId="0" applyAlignment="1" pivotButton="0" quotePrefix="0" xfId="0">
      <alignment horizontal="general" vertical="bottom"/>
    </xf>
    <xf numFmtId="0" fontId="6" fillId="2" borderId="0" applyAlignment="1" pivotButton="0" quotePrefix="0" xfId="0">
      <alignment horizontal="general" vertical="bottom"/>
    </xf>
    <xf numFmtId="0" fontId="9" fillId="3" borderId="1" applyAlignment="1" pivotButton="0" quotePrefix="0" xfId="0">
      <alignment horizontal="center" vertical="center" wrapText="1"/>
    </xf>
    <xf numFmtId="0" fontId="11" fillId="0" borderId="1" applyAlignment="1" pivotButton="0" quotePrefix="0" xfId="0">
      <alignment horizontal="general" vertical="bottom"/>
    </xf>
    <xf numFmtId="3" fontId="11" fillId="0" borderId="1" applyAlignment="1" pivotButton="0" quotePrefix="0" xfId="0">
      <alignment horizontal="general" vertical="bottom"/>
    </xf>
    <xf numFmtId="164" fontId="11" fillId="0" borderId="1" applyAlignment="1" pivotButton="0" quotePrefix="0" xfId="0">
      <alignment horizontal="general" vertical="bottom"/>
    </xf>
    <xf numFmtId="0" fontId="6" fillId="2" borderId="0" applyAlignment="1" pivotButton="0" quotePrefix="0" xfId="0">
      <alignment horizontal="general" vertical="bottom"/>
    </xf>
    <xf numFmtId="0" fontId="15" fillId="3" borderId="0" applyAlignment="1" pivotButton="0" quotePrefix="0" xfId="0">
      <alignment horizontal="general" vertical="bottom"/>
    </xf>
    <xf numFmtId="0" fontId="11" fillId="2" borderId="0" applyAlignment="1" pivotButton="0" quotePrefix="0" xfId="0">
      <alignment horizontal="general" vertical="bottom"/>
    </xf>
    <xf numFmtId="165" fontId="16" fillId="4" borderId="1" applyAlignment="1" applyProtection="1" pivotButton="0" quotePrefix="0" xfId="0">
      <alignment horizontal="general" vertical="bottom"/>
      <protection locked="0" hidden="0"/>
    </xf>
    <xf numFmtId="0" fontId="17" fillId="0" borderId="0" applyAlignment="1" pivotButton="0" quotePrefix="0" xfId="0">
      <alignment horizontal="general" vertical="bottom"/>
    </xf>
    <xf numFmtId="0" fontId="11" fillId="0" borderId="0" applyAlignment="1" pivotButton="0" quotePrefix="0" xfId="0">
      <alignment horizontal="general" vertical="bottom"/>
    </xf>
    <xf numFmtId="166" fontId="16" fillId="4" borderId="1" applyAlignment="1" applyProtection="1" pivotButton="0" quotePrefix="0" xfId="0">
      <alignment horizontal="general" vertical="bottom"/>
      <protection locked="0" hidden="0"/>
    </xf>
    <xf numFmtId="0" fontId="16" fillId="4" borderId="1" applyAlignment="1" applyProtection="1" pivotButton="0" quotePrefix="0" xfId="0">
      <alignment horizontal="general" vertical="bottom"/>
      <protection locked="0" hidden="0"/>
    </xf>
    <xf numFmtId="10" fontId="16" fillId="4" borderId="1" applyAlignment="1" applyProtection="1" pivotButton="0" quotePrefix="0" xfId="0">
      <alignment horizontal="general" vertical="bottom"/>
      <protection locked="0" hidden="0"/>
    </xf>
    <xf numFmtId="3" fontId="16" fillId="4" borderId="1" applyAlignment="1" applyProtection="1" pivotButton="0" quotePrefix="0" xfId="0">
      <alignment horizontal="general" vertical="bottom"/>
      <protection locked="0" hidden="0"/>
    </xf>
    <xf numFmtId="2" fontId="16" fillId="4" borderId="1" applyAlignment="1" applyProtection="1" pivotButton="0" quotePrefix="0" xfId="0">
      <alignment horizontal="general" vertical="bottom"/>
      <protection locked="0" hidden="0"/>
    </xf>
    <xf numFmtId="10" fontId="11" fillId="0" borderId="1" applyAlignment="1" pivotButton="0" quotePrefix="0" xfId="0">
      <alignment horizontal="general" vertical="bottom"/>
    </xf>
    <xf numFmtId="2" fontId="11" fillId="0" borderId="1" applyAlignment="1" pivotButton="0" quotePrefix="0" xfId="0">
      <alignment horizontal="general" vertical="bottom"/>
    </xf>
    <xf numFmtId="3" fontId="0" fillId="0" borderId="1" applyAlignment="1" pivotButton="0" quotePrefix="0" xfId="0">
      <alignment horizontal="general" vertical="bottom"/>
    </xf>
    <xf numFmtId="10" fontId="0" fillId="0" borderId="1" applyAlignment="1" pivotButton="0" quotePrefix="0" xfId="0">
      <alignment horizontal="general" vertical="bottom"/>
    </xf>
    <xf numFmtId="0" fontId="18" fillId="3" borderId="0" applyAlignment="1" pivotButton="0" quotePrefix="0" xfId="0">
      <alignment horizontal="general" vertical="bottom"/>
    </xf>
    <xf numFmtId="0" fontId="11" fillId="0" borderId="0" applyAlignment="1" pivotButton="0" quotePrefix="0" xfId="0">
      <alignment horizontal="general" vertical="center" wrapText="1"/>
    </xf>
    <xf numFmtId="9" fontId="16" fillId="4" borderId="1" applyAlignment="1" applyProtection="1" pivotButton="0" quotePrefix="0" xfId="0">
      <alignment horizontal="general" vertical="bottom"/>
      <protection locked="0" hidden="0"/>
    </xf>
    <xf numFmtId="3" fontId="17" fillId="0" borderId="0" applyAlignment="1" pivotButton="0" quotePrefix="0" xfId="0">
      <alignment horizontal="general" vertical="bottom"/>
    </xf>
    <xf numFmtId="0" fontId="6" fillId="2" borderId="0" applyAlignment="1" pivotButton="0" quotePrefix="0" xfId="0">
      <alignment horizontal="general" vertical="center" wrapText="1"/>
    </xf>
    <xf numFmtId="3" fontId="0" fillId="0" borderId="0" applyAlignment="1" pivotButton="0" quotePrefix="0" xfId="0">
      <alignment horizontal="general" vertical="bottom"/>
    </xf>
    <xf numFmtId="0" fontId="11" fillId="0" borderId="0" applyAlignment="1" pivotButton="0" quotePrefix="0" xfId="0">
      <alignment horizontal="general" vertical="bottom" wrapText="1"/>
    </xf>
    <xf numFmtId="0" fontId="19" fillId="3" borderId="1" applyAlignment="1" pivotButton="0" quotePrefix="0" xfId="0">
      <alignment horizontal="center" vertical="center" wrapText="1"/>
    </xf>
    <xf numFmtId="0" fontId="17" fillId="5" borderId="0" applyAlignment="1" pivotButton="0" quotePrefix="0" xfId="0">
      <alignment horizontal="general" vertical="bottom"/>
    </xf>
    <xf numFmtId="3" fontId="17" fillId="5" borderId="1" applyAlignment="1" pivotButton="0" quotePrefix="0" xfId="0">
      <alignment horizontal="general" vertical="bottom"/>
    </xf>
    <xf numFmtId="0" fontId="20" fillId="0" borderId="0" applyAlignment="1" pivotButton="0" quotePrefix="0" xfId="0">
      <alignment horizontal="right" vertical="center"/>
    </xf>
    <xf numFmtId="0" fontId="21" fillId="4" borderId="1" applyAlignment="1" applyProtection="1" pivotButton="0" quotePrefix="0" xfId="0">
      <alignment horizontal="general" vertical="bottom"/>
      <protection locked="0" hidden="0"/>
    </xf>
    <xf numFmtId="0" fontId="17" fillId="0" borderId="0" applyAlignment="1" pivotButton="0" quotePrefix="0" xfId="0">
      <alignment horizontal="right" vertical="center"/>
    </xf>
    <xf numFmtId="165" fontId="21" fillId="4" borderId="1" applyAlignment="1" applyProtection="1" pivotButton="0" quotePrefix="0" xfId="0">
      <alignment horizontal="general" vertical="bottom"/>
      <protection locked="0" hidden="0"/>
    </xf>
    <xf numFmtId="0" fontId="22" fillId="0" borderId="0" applyAlignment="1" pivotButton="0" quotePrefix="0" xfId="0">
      <alignment horizontal="center" vertical="center" wrapText="1"/>
    </xf>
    <xf numFmtId="0" fontId="0" fillId="0" borderId="2" applyAlignment="1" pivotButton="0" quotePrefix="0" xfId="0">
      <alignment horizontal="general" vertical="bottom"/>
    </xf>
    <xf numFmtId="0" fontId="17" fillId="0" borderId="0" applyAlignment="1" pivotButton="0" quotePrefix="0" xfId="0">
      <alignment horizontal="general" vertical="bottom"/>
    </xf>
    <xf numFmtId="0" fontId="23" fillId="0" borderId="0" applyAlignment="1" pivotButton="0" quotePrefix="0" xfId="0">
      <alignment horizontal="right" vertical="center"/>
    </xf>
    <xf numFmtId="0" fontId="24" fillId="0" borderId="0" applyAlignment="1" pivotButton="0" quotePrefix="0" xfId="0">
      <alignment horizontal="general" vertical="bottom"/>
    </xf>
    <xf numFmtId="0" fontId="24" fillId="0" borderId="0" applyAlignment="1" pivotButton="0" quotePrefix="0" xfId="0">
      <alignment horizontal="right" vertical="center"/>
    </xf>
    <xf numFmtId="0" fontId="9" fillId="3" borderId="0" applyAlignment="1" pivotButton="0" quotePrefix="0" xfId="0">
      <alignment horizontal="general" vertical="bottom"/>
    </xf>
    <xf numFmtId="0" fontId="17" fillId="2" borderId="1" applyAlignment="1" pivotButton="0" quotePrefix="0" xfId="0">
      <alignment horizontal="general" vertical="bottom"/>
    </xf>
    <xf numFmtId="166" fontId="11" fillId="0" borderId="1" applyAlignment="1" pivotButton="0" quotePrefix="0" xfId="0">
      <alignment horizontal="general" vertical="bottom"/>
    </xf>
    <xf numFmtId="0" fontId="25" fillId="0" borderId="1" applyAlignment="1" pivotButton="0" quotePrefix="0" xfId="0">
      <alignment horizontal="center" vertical="center" wrapText="1"/>
    </xf>
    <xf numFmtId="0" fontId="17" fillId="2" borderId="3" applyAlignment="1" pivotButton="0" quotePrefix="0" xfId="0">
      <alignment horizontal="general" vertical="bottom"/>
    </xf>
    <xf numFmtId="3" fontId="17" fillId="2" borderId="1" applyAlignment="1" pivotButton="0" quotePrefix="0" xfId="0">
      <alignment horizontal="general" vertical="bottom"/>
    </xf>
    <xf numFmtId="0" fontId="11" fillId="0" borderId="1" applyAlignment="1" pivotButton="0" quotePrefix="0" xfId="0">
      <alignment horizontal="center" vertical="center" wrapText="1"/>
    </xf>
    <xf numFmtId="0" fontId="0" fillId="2" borderId="1" applyAlignment="1" pivotButton="0" quotePrefix="0" xfId="0">
      <alignment horizontal="center" vertical="center" wrapText="1"/>
    </xf>
    <xf numFmtId="0" fontId="26" fillId="5" borderId="0" applyAlignment="1" pivotButton="0" quotePrefix="0" xfId="0">
      <alignment horizontal="general" vertical="bottom"/>
    </xf>
    <xf numFmtId="167" fontId="26" fillId="5" borderId="0" applyAlignment="1" pivotButton="0" quotePrefix="0" xfId="0">
      <alignment horizontal="right" vertical="center"/>
    </xf>
    <xf numFmtId="0" fontId="11" fillId="0" borderId="0" applyAlignment="1" pivotButton="0" quotePrefix="0" xfId="0">
      <alignment horizontal="general" vertical="bottom"/>
    </xf>
    <xf numFmtId="167" fontId="11" fillId="0" borderId="0" applyAlignment="1" pivotButton="0" quotePrefix="0" xfId="0">
      <alignment horizontal="right" vertical="center"/>
    </xf>
    <xf numFmtId="0" fontId="25" fillId="0" borderId="0" applyAlignment="1" pivotButton="0" quotePrefix="0" xfId="0">
      <alignment horizontal="general" vertical="bottom"/>
    </xf>
    <xf numFmtId="0" fontId="0" fillId="0" borderId="4" applyAlignment="1" pivotButton="0" quotePrefix="0" xfId="0">
      <alignment horizontal="general" vertical="bottom"/>
    </xf>
    <xf numFmtId="0" fontId="27" fillId="5" borderId="0" applyAlignment="1" pivotButton="0" quotePrefix="0" xfId="0">
      <alignment horizontal="general" vertical="bottom"/>
    </xf>
    <xf numFmtId="0" fontId="11" fillId="0" borderId="0" applyAlignment="1" pivotButton="0" quotePrefix="0" xfId="0">
      <alignment horizontal="general" vertical="top" wrapText="1"/>
    </xf>
    <xf numFmtId="0" fontId="28" fillId="0" borderId="0" applyAlignment="1" pivotButton="0" quotePrefix="0" xfId="0">
      <alignment horizontal="general" vertical="bottom"/>
    </xf>
    <xf numFmtId="165" fontId="11" fillId="0" borderId="1" applyAlignment="1" pivotButton="0" quotePrefix="0" xfId="0">
      <alignment horizontal="general" vertical="bottom"/>
    </xf>
    <xf numFmtId="3" fontId="11" fillId="0" borderId="0" applyAlignment="1" pivotButton="0" quotePrefix="0" xfId="0">
      <alignment horizontal="general" vertical="bottom"/>
    </xf>
    <xf numFmtId="0" fontId="11" fillId="0" borderId="0" applyAlignment="1" pivotButton="0" quotePrefix="0" xfId="0">
      <alignment horizontal="general" vertical="top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4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bottom"/>
    </xf>
    <xf numFmtId="0" fontId="6" fillId="2" borderId="0" applyAlignment="1" pivotButton="0" quotePrefix="0" xfId="0">
      <alignment horizontal="general" vertical="top" wrapText="1"/>
    </xf>
    <xf numFmtId="0" fontId="7" fillId="0" borderId="0" applyAlignment="1" pivotButton="0" quotePrefix="0" xfId="0">
      <alignment horizontal="general" vertical="top" wrapText="1"/>
    </xf>
    <xf numFmtId="0" fontId="8" fillId="3" borderId="0" applyAlignment="1" pivotButton="0" quotePrefix="0" xfId="0">
      <alignment horizontal="general" vertical="bottom"/>
    </xf>
    <xf numFmtId="0" fontId="9" fillId="3" borderId="0" applyAlignment="1" pivotButton="0" quotePrefix="0" xfId="0">
      <alignment horizontal="center" vertical="center" wrapText="1"/>
    </xf>
    <xf numFmtId="1" fontId="10" fillId="0" borderId="0" applyAlignment="1" pivotButton="0" quotePrefix="0" xfId="0">
      <alignment horizontal="general" vertical="bottom"/>
    </xf>
    <xf numFmtId="3" fontId="10" fillId="0" borderId="0" applyAlignment="1" pivotButton="0" quotePrefix="0" xfId="0">
      <alignment horizontal="general" vertical="bottom"/>
    </xf>
    <xf numFmtId="0" fontId="6" fillId="2" borderId="0" applyAlignment="1" pivotButton="0" quotePrefix="0" xfId="0">
      <alignment horizontal="general" vertical="bottom"/>
    </xf>
    <xf numFmtId="0" fontId="9" fillId="3" borderId="1" applyAlignment="1" pivotButton="0" quotePrefix="0" xfId="0">
      <alignment horizontal="center" vertical="center" wrapText="1"/>
    </xf>
    <xf numFmtId="0" fontId="11" fillId="0" borderId="1" applyAlignment="1" pivotButton="0" quotePrefix="0" xfId="0">
      <alignment horizontal="general" vertical="bottom"/>
    </xf>
    <xf numFmtId="3" fontId="11" fillId="0" borderId="1" applyAlignment="1" pivotButton="0" quotePrefix="0" xfId="0">
      <alignment horizontal="general" vertical="bottom"/>
    </xf>
    <xf numFmtId="164" fontId="11" fillId="0" borderId="1" applyAlignment="1" pivotButton="0" quotePrefix="0" xfId="0">
      <alignment horizontal="general" vertical="bottom"/>
    </xf>
    <xf numFmtId="0" fontId="15" fillId="3" borderId="0" applyAlignment="1" pivotButton="0" quotePrefix="0" xfId="0">
      <alignment horizontal="general" vertical="bottom"/>
    </xf>
    <xf numFmtId="0" fontId="11" fillId="2" borderId="0" applyAlignment="1" pivotButton="0" quotePrefix="0" xfId="0">
      <alignment horizontal="general" vertical="bottom"/>
    </xf>
    <xf numFmtId="165" fontId="16" fillId="4" borderId="1" applyAlignment="1" applyProtection="1" pivotButton="0" quotePrefix="0" xfId="0">
      <alignment horizontal="general" vertical="bottom"/>
      <protection locked="0" hidden="0"/>
    </xf>
    <xf numFmtId="0" fontId="17" fillId="0" borderId="0" applyAlignment="1" pivotButton="0" quotePrefix="0" xfId="0">
      <alignment horizontal="general" vertical="bottom"/>
    </xf>
    <xf numFmtId="0" fontId="11" fillId="0" borderId="0" applyAlignment="1" pivotButton="0" quotePrefix="0" xfId="0">
      <alignment horizontal="general" vertical="bottom"/>
    </xf>
    <xf numFmtId="166" fontId="16" fillId="4" borderId="1" applyAlignment="1" applyProtection="1" pivotButton="0" quotePrefix="0" xfId="0">
      <alignment horizontal="general" vertical="bottom"/>
      <protection locked="0" hidden="0"/>
    </xf>
    <xf numFmtId="0" fontId="16" fillId="4" borderId="1" applyAlignment="1" applyProtection="1" pivotButton="0" quotePrefix="0" xfId="0">
      <alignment horizontal="general" vertical="bottom"/>
      <protection locked="0" hidden="0"/>
    </xf>
    <xf numFmtId="10" fontId="16" fillId="4" borderId="1" applyAlignment="1" applyProtection="1" pivotButton="0" quotePrefix="0" xfId="0">
      <alignment horizontal="general" vertical="bottom"/>
      <protection locked="0" hidden="0"/>
    </xf>
    <xf numFmtId="3" fontId="16" fillId="4" borderId="1" applyAlignment="1" applyProtection="1" pivotButton="0" quotePrefix="0" xfId="0">
      <alignment horizontal="general" vertical="bottom"/>
      <protection locked="0" hidden="0"/>
    </xf>
    <xf numFmtId="2" fontId="16" fillId="4" borderId="1" applyAlignment="1" applyProtection="1" pivotButton="0" quotePrefix="0" xfId="0">
      <alignment horizontal="general" vertical="bottom"/>
      <protection locked="0" hidden="0"/>
    </xf>
    <xf numFmtId="10" fontId="11" fillId="0" borderId="1" applyAlignment="1" pivotButton="0" quotePrefix="0" xfId="0">
      <alignment horizontal="general" vertical="bottom"/>
    </xf>
    <xf numFmtId="2" fontId="11" fillId="0" borderId="1" applyAlignment="1" pivotButton="0" quotePrefix="0" xfId="0">
      <alignment horizontal="general" vertical="bottom"/>
    </xf>
    <xf numFmtId="3" fontId="0" fillId="0" borderId="1" applyAlignment="1" pivotButton="0" quotePrefix="0" xfId="0">
      <alignment horizontal="general" vertical="bottom"/>
    </xf>
    <xf numFmtId="10" fontId="0" fillId="0" borderId="1" applyAlignment="1" pivotButton="0" quotePrefix="0" xfId="0">
      <alignment horizontal="general" vertical="bottom"/>
    </xf>
    <xf numFmtId="0" fontId="18" fillId="3" borderId="0" applyAlignment="1" pivotButton="0" quotePrefix="0" xfId="0">
      <alignment horizontal="general" vertical="bottom"/>
    </xf>
    <xf numFmtId="0" fontId="11" fillId="0" borderId="0" applyAlignment="1" pivotButton="0" quotePrefix="0" xfId="0">
      <alignment horizontal="general" vertical="center" wrapText="1"/>
    </xf>
    <xf numFmtId="9" fontId="16" fillId="4" borderId="1" applyAlignment="1" applyProtection="1" pivotButton="0" quotePrefix="0" xfId="0">
      <alignment horizontal="general" vertical="bottom"/>
      <protection locked="0" hidden="0"/>
    </xf>
    <xf numFmtId="14" fontId="16" fillId="4" borderId="1" applyAlignment="1" applyProtection="1" pivotButton="0" quotePrefix="0" xfId="0">
      <alignment horizontal="general" vertical="bottom"/>
      <protection locked="0" hidden="0"/>
    </xf>
    <xf numFmtId="3" fontId="17" fillId="0" borderId="0" applyAlignment="1" pivotButton="0" quotePrefix="0" xfId="0">
      <alignment horizontal="general" vertical="bottom"/>
    </xf>
    <xf numFmtId="0" fontId="6" fillId="2" borderId="0" applyAlignment="1" pivotButton="0" quotePrefix="0" xfId="0">
      <alignment horizontal="general" vertical="center" wrapText="1"/>
    </xf>
    <xf numFmtId="3" fontId="0" fillId="0" borderId="0" applyAlignment="1" pivotButton="0" quotePrefix="0" xfId="0">
      <alignment horizontal="general" vertical="bottom"/>
    </xf>
    <xf numFmtId="0" fontId="11" fillId="0" borderId="0" applyAlignment="1" pivotButton="0" quotePrefix="0" xfId="0">
      <alignment horizontal="general" vertical="bottom" wrapText="1"/>
    </xf>
    <xf numFmtId="0" fontId="19" fillId="3" borderId="1" applyAlignment="1" pivotButton="0" quotePrefix="0" xfId="0">
      <alignment horizontal="center" vertical="center" wrapText="1"/>
    </xf>
    <xf numFmtId="0" fontId="17" fillId="5" borderId="0" applyAlignment="1" pivotButton="0" quotePrefix="0" xfId="0">
      <alignment horizontal="general" vertical="bottom"/>
    </xf>
    <xf numFmtId="3" fontId="17" fillId="5" borderId="1" applyAlignment="1" pivotButton="0" quotePrefix="0" xfId="0">
      <alignment horizontal="general" vertical="bottom"/>
    </xf>
    <xf numFmtId="0" fontId="20" fillId="0" borderId="0" applyAlignment="1" pivotButton="0" quotePrefix="0" xfId="0">
      <alignment horizontal="right" vertical="center"/>
    </xf>
    <xf numFmtId="0" fontId="21" fillId="4" borderId="1" applyAlignment="1" applyProtection="1" pivotButton="0" quotePrefix="0" xfId="0">
      <alignment horizontal="general" vertical="bottom"/>
      <protection locked="0" hidden="0"/>
    </xf>
    <xf numFmtId="0" fontId="17" fillId="0" borderId="0" applyAlignment="1" pivotButton="0" quotePrefix="0" xfId="0">
      <alignment horizontal="right" vertical="center"/>
    </xf>
    <xf numFmtId="165" fontId="21" fillId="4" borderId="1" applyAlignment="1" applyProtection="1" pivotButton="0" quotePrefix="0" xfId="0">
      <alignment horizontal="general" vertical="bottom"/>
      <protection locked="0" hidden="0"/>
    </xf>
    <xf numFmtId="0" fontId="22" fillId="0" borderId="0" applyAlignment="1" pivotButton="0" quotePrefix="0" xfId="0">
      <alignment horizontal="center" vertical="center" wrapText="1"/>
    </xf>
    <xf numFmtId="0" fontId="0" fillId="0" borderId="2" applyAlignment="1" pivotButton="0" quotePrefix="0" xfId="0">
      <alignment horizontal="general" vertical="bottom"/>
    </xf>
    <xf numFmtId="0" fontId="23" fillId="0" borderId="0" applyAlignment="1" pivotButton="0" quotePrefix="0" xfId="0">
      <alignment horizontal="right" vertical="center"/>
    </xf>
    <xf numFmtId="0" fontId="24" fillId="0" borderId="0" applyAlignment="1" pivotButton="0" quotePrefix="0" xfId="0">
      <alignment horizontal="general" vertical="bottom"/>
    </xf>
    <xf numFmtId="0" fontId="24" fillId="0" borderId="0" applyAlignment="1" pivotButton="0" quotePrefix="0" xfId="0">
      <alignment horizontal="right" vertical="center"/>
    </xf>
    <xf numFmtId="0" fontId="9" fillId="3" borderId="0" applyAlignment="1" pivotButton="0" quotePrefix="0" xfId="0">
      <alignment horizontal="general" vertical="bottom"/>
    </xf>
    <xf numFmtId="0" fontId="17" fillId="2" borderId="1" applyAlignment="1" pivotButton="0" quotePrefix="0" xfId="0">
      <alignment horizontal="general" vertical="bottom"/>
    </xf>
    <xf numFmtId="0" fontId="0" fillId="0" borderId="7" pivotButton="0" quotePrefix="0" xfId="0"/>
    <xf numFmtId="0" fontId="0" fillId="0" borderId="8" pivotButton="0" quotePrefix="0" xfId="0"/>
    <xf numFmtId="166" fontId="11" fillId="0" borderId="1" applyAlignment="1" pivotButton="0" quotePrefix="0" xfId="0">
      <alignment horizontal="general" vertical="bottom"/>
    </xf>
    <xf numFmtId="0" fontId="25" fillId="0" borderId="1" applyAlignment="1" pivotButton="0" quotePrefix="0" xfId="0">
      <alignment horizontal="center" vertical="center" wrapText="1"/>
    </xf>
    <xf numFmtId="0" fontId="17" fillId="2" borderId="3" applyAlignment="1" pivotButton="0" quotePrefix="0" xfId="0">
      <alignment horizontal="general" vertical="bottom"/>
    </xf>
    <xf numFmtId="0" fontId="0" fillId="0" borderId="3" pivotButton="0" quotePrefix="0" xfId="0"/>
    <xf numFmtId="3" fontId="17" fillId="2" borderId="1" applyAlignment="1" pivotButton="0" quotePrefix="0" xfId="0">
      <alignment horizontal="general" vertical="bottom"/>
    </xf>
    <xf numFmtId="0" fontId="11" fillId="0" borderId="1" applyAlignment="1" pivotButton="0" quotePrefix="0" xfId="0">
      <alignment horizontal="center" vertical="center" wrapText="1"/>
    </xf>
    <xf numFmtId="0" fontId="0" fillId="2" borderId="1" applyAlignment="1" pivotButton="0" quotePrefix="0" xfId="0">
      <alignment horizontal="center" vertical="center" wrapText="1"/>
    </xf>
    <xf numFmtId="0" fontId="26" fillId="5" borderId="0" applyAlignment="1" pivotButton="0" quotePrefix="0" xfId="0">
      <alignment horizontal="general" vertical="bottom"/>
    </xf>
    <xf numFmtId="167" fontId="26" fillId="5" borderId="0" applyAlignment="1" pivotButton="0" quotePrefix="0" xfId="0">
      <alignment horizontal="right" vertical="center"/>
    </xf>
    <xf numFmtId="167" fontId="11" fillId="0" borderId="0" applyAlignment="1" pivotButton="0" quotePrefix="0" xfId="0">
      <alignment horizontal="right" vertical="center"/>
    </xf>
    <xf numFmtId="0" fontId="25" fillId="0" borderId="0" applyAlignment="1" pivotButton="0" quotePrefix="0" xfId="0">
      <alignment horizontal="general" vertical="bottom"/>
    </xf>
    <xf numFmtId="0" fontId="0" fillId="0" borderId="4" applyAlignment="1" pivotButton="0" quotePrefix="0" xfId="0">
      <alignment horizontal="general" vertical="bottom"/>
    </xf>
    <xf numFmtId="0" fontId="27" fillId="5" borderId="0" applyAlignment="1" pivotButton="0" quotePrefix="0" xfId="0">
      <alignment horizontal="general" vertical="bottom"/>
    </xf>
    <xf numFmtId="0" fontId="11" fillId="0" borderId="0" applyAlignment="1" pivotButton="0" quotePrefix="0" xfId="0">
      <alignment horizontal="general" vertical="top" wrapText="1"/>
    </xf>
    <xf numFmtId="0" fontId="28" fillId="0" borderId="0" applyAlignment="1" pivotButton="0" quotePrefix="0" xfId="0">
      <alignment horizontal="general" vertical="bottom"/>
    </xf>
    <xf numFmtId="165" fontId="11" fillId="0" borderId="1" applyAlignment="1" pivotButton="0" quotePrefix="0" xfId="0">
      <alignment horizontal="general" vertical="bottom"/>
    </xf>
    <xf numFmtId="3" fontId="11" fillId="0" borderId="0" applyAlignment="1" pivotButton="0" quotePrefix="0" xfId="0">
      <alignment horizontal="general" vertical="bottom"/>
    </xf>
    <xf numFmtId="168" fontId="11" fillId="0" borderId="1" applyAlignment="1" pivotButton="0" quotePrefix="0" xfId="0">
      <alignment horizontal="general" vertical="bottom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6515"/>
      <rgbColor rgb="FF800080"/>
      <rgbColor rgb="FF008080"/>
      <rgbColor rgb="FFB3B3B3"/>
      <rgbColor rgb="FF808080"/>
      <rgbColor rgb="FF9999FF"/>
      <rgbColor rgb="FF993366"/>
      <rgbColor rgb="FFF2F0EA"/>
      <rgbColor rgb="FFDCE9F7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A84C"/>
      <rgbColor rgb="FFFF6600"/>
      <rgbColor rgb="FF555555"/>
      <rgbColor rgb="FFB0B0B0"/>
      <rgbColor rgb="FF1B2A4A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/>
          <a:lstStyle xmlns:a="http://schemas.openxmlformats.org/drawingml/2006/main"/>
          <a:p xmlns:a="http://schemas.openxmlformats.org/drawingml/2006/main">
            <a:pPr>
              <a:defRPr lang="fr-FR"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Masse salariale brute par département (mois en cours)</a:t>
            </a:r>
          </a:p>
        </rich>
      </tx>
      <overlay val="0"/>
      <spPr>
        <a:noFill xmlns:a="http://schemas.openxmlformats.org/drawingml/2006/main"/>
        <a:ln xmlns:a="http://schemas.openxmlformats.org/drawingml/2006/main" w="0">
          <a:noFill/>
          <a:prstDash val="solid"/>
        </a:ln>
      </spPr>
    </title>
    <plotArea>
      <barChart>
        <barDir val="col"/>
        <grouping val="clustered"/>
        <varyColors val="0"/>
        <ser>
          <idx val="0"/>
          <order val="0"/>
          <tx>
            <strRef>
              <f>'Livre de paie'!$C$69</f>
              <strCache>
                <ptCount val="1"/>
                <pt idx="0">
                  <v>Masse brute</v>
                </pt>
              </strCache>
            </strRef>
          </tx>
          <spPr>
            <a:solidFill xmlns:a="http://schemas.openxmlformats.org/drawingml/2006/main">
              <a:srgbClr val="1b2a4a"/>
            </a:solidFill>
            <a:ln xmlns:a="http://schemas.openxmlformats.org/drawingml/2006/main" w="0">
              <a:solidFill>
                <a:srgbClr val="000000"/>
              </a:solidFill>
              <a:prstDash val="solid"/>
            </a:ln>
          </spPr>
          <invertIfNegative val="0"/>
          <dLbls>
            <txPr>
              <a:bodyPr xmlns:a="http://schemas.openxmlformats.org/drawingml/2006/main" wrap="square"/>
              <a:lstStyle xmlns:a="http://schemas.openxmlformats.org/drawingml/2006/main"/>
              <a:p xmlns:a="http://schemas.openxmlformats.org/drawingml/2006/main"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r>
                  <a:t>None</a:t>
                </a:r>
              </a:p>
            </txPr>
            <dLblPos val="outEnd"/>
            <showLegendKey val="0"/>
            <showVal val="0"/>
            <showCatName val="0"/>
            <showSerName val="0"/>
            <showPercent val="0"/>
            <showLeaderLines val="0"/>
          </dLbls>
          <cat>
            <strRef>
              <f>'Livre de paie'!$A$70:$A$79</f>
              <strCache>
                <ptCount val="10"/>
                <pt idx="0">
                  <v>Administration &amp; Finances</v>
                </pt>
                <pt idx="1">
                  <v>Création graphique &amp; Production</v>
                </pt>
                <pt idx="2">
                  <v>Éditorial</v>
                </pt>
                <pt idx="3">
                  <v>Développement éditorial &amp; Communication</v>
                </pt>
                <pt idx="4">
                  <v>Commercial</v>
                </pt>
                <pt idx="5">
                  <v>None</v>
                </pt>
                <pt idx="6">
                  <v>None</v>
                </pt>
                <pt idx="7">
                  <v>None</v>
                </pt>
                <pt idx="8">
                  <v>None</v>
                </pt>
                <pt idx="9">
                  <v>None</v>
                </pt>
              </strCache>
            </strRef>
          </cat>
          <val>
            <numRef>
              <f>'Livre de paie'!$C$70:$C$79</f>
              <numCache>
                <formatCode>#,##0</formatCode>
                <ptCount val="10"/>
                <pt idx="0">
                  <v>243607</v>
                </pt>
                <pt idx="1">
                  <v>503526</v>
                </pt>
                <pt idx="2">
                  <v>163846</v>
                </pt>
                <pt idx="3">
                  <v>108792</v>
                </pt>
                <pt idx="4">
                  <v>0</v>
                </pt>
              </numCache>
            </numRef>
          </val>
        </ser>
        <gapWidth val="150"/>
        <overlap val="0"/>
        <axId val="62082308"/>
        <axId val="55184491"/>
      </barChart>
      <catAx>
        <axId val="62082308"/>
        <scaling>
          <orientation val="minMax"/>
        </scaling>
        <delete val="0"/>
        <axPos val="b"/>
        <numFmt formatCode="General" sourceLinked="0"/>
        <majorTickMark val="none"/>
        <minorTickMark val="none"/>
        <tickLblPos val="nextTo"/>
        <spPr>
          <a:ln xmlns:a="http://schemas.openxmlformats.org/drawingml/2006/main" w="0">
            <a:solidFill>
              <a:srgbClr val="b3b3b3"/>
            </a:solidFill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</a:p>
        </txPr>
        <crossAx val="55184491"/>
        <crosses val="autoZero"/>
        <auto val="1"/>
        <lblAlgn val="ctr"/>
        <lblOffset val="100"/>
        <noMultiLvlLbl val="0"/>
      </catAx>
      <valAx>
        <axId val="55184491"/>
        <scaling>
          <orientation val="minMax"/>
        </scaling>
        <delete val="0"/>
        <axPos val="l"/>
        <majorGridlines>
          <spPr>
            <a:ln xmlns:a="http://schemas.openxmlformats.org/drawingml/2006/main" w="0">
              <a:solidFill>
                <a:srgbClr val="b3b3b3"/>
              </a:solidFill>
              <a:prstDash val="solid"/>
            </a:ln>
          </spPr>
        </majorGridlines>
        <title>
          <tx>
            <rich>
              <a:bodyPr xmlns:a="http://schemas.openxmlformats.org/drawingml/2006/main" rot="-5400000"/>
              <a:lstStyle xmlns:a="http://schemas.openxmlformats.org/drawingml/2006/main"/>
              <a:p xmlns:a="http://schemas.openxmlformats.org/drawingml/2006/main">
                <a:pPr>
                  <a:defRPr lang="fr-FR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FCFA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 w="0">
              <a:noFill/>
              <a:prstDash val="solid"/>
            </a:ln>
          </spPr>
        </title>
        <numFmt formatCode="#,##0" sourceLinked="0"/>
        <majorTickMark val="none"/>
        <minorTickMark val="none"/>
        <tickLblPos val="nextTo"/>
        <spPr>
          <a:ln xmlns:a="http://schemas.openxmlformats.org/drawingml/2006/main" w="0">
            <a:solidFill>
              <a:srgbClr val="b3b3b3"/>
            </a:solidFill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</a:p>
        </txPr>
        <crossAx val="62082308"/>
        <crosses val="autoZero"/>
        <crossBetween val="between"/>
      </valAx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 w="9360">
      <a:solidFill>
        <a:srgbClr val="d9d9d9"/>
      </a:solidFill>
      <a:prstDash val="solid"/>
      <a:round/>
    </a:ln>
  </spPr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/>
          <a:lstStyle xmlns:a="http://schemas.openxmlformats.org/drawingml/2006/main"/>
          <a:p xmlns:a="http://schemas.openxmlformats.org/drawingml/2006/main"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Évolution pluriannuelle — masse brute et coût employeur</a:t>
            </a:r>
          </a:p>
        </rich>
      </tx>
      <overlay val="0"/>
      <spPr>
        <a:noFill xmlns:a="http://schemas.openxmlformats.org/drawingml/2006/main"/>
        <a:ln xmlns:a="http://schemas.openxmlformats.org/drawingml/2006/main" w="0">
          <a:noFill/>
          <a:prstDash val="solid"/>
        </a:ln>
      </spPr>
    </title>
    <plotArea>
      <lineChart>
        <grouping val="standard"/>
        <varyColors val="0"/>
        <ser>
          <idx val="0"/>
          <order val="0"/>
          <tx>
            <strRef>
              <f>'Tableau de bord'!$B$12</f>
              <strCache>
                <ptCount val="1"/>
                <pt idx="0">
                  <v>Masse brute</v>
                </pt>
              </strCache>
            </strRef>
          </tx>
          <spPr>
            <a:solidFill xmlns:a="http://schemas.openxmlformats.org/drawingml/2006/main">
              <a:srgbClr val="1b2a4a"/>
            </a:solidFill>
            <a:ln xmlns:a="http://schemas.openxmlformats.org/drawingml/2006/main" w="47520">
              <a:solidFill>
                <a:srgbClr val="1b2a4a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txPr>
              <a:bodyPr xmlns:a="http://schemas.openxmlformats.org/drawingml/2006/main" wrap="square"/>
              <a:lstStyle xmlns:a="http://schemas.openxmlformats.org/drawingml/2006/main"/>
              <a:p xmlns:a="http://schemas.openxmlformats.org/drawingml/2006/main"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r>
                  <a:t>None</a:t>
                </a:r>
              </a:p>
            </txPr>
            <dLblPos val="r"/>
            <showLegendKey val="0"/>
            <showVal val="0"/>
            <showCatName val="0"/>
            <showSerName val="0"/>
            <showPercent val="0"/>
            <showLeaderLines val="0"/>
          </dLbls>
          <cat>
            <strRef>
              <f>'Tableau de bord'!$A$13:$A$32</f>
              <strCache>
                <ptCount val="20"/>
                <pt idx="0">
                  <v>2026</v>
                </pt>
                <pt idx="1">
                  <v>2027</v>
                </pt>
                <pt idx="2">
                  <v>2028</v>
                </pt>
                <pt idx="3">
                  <v>2029</v>
                </pt>
                <pt idx="4">
                  <v>2030</v>
                </pt>
                <pt idx="5">
                  <v>2031</v>
                </pt>
                <pt idx="6">
                  <v>2032</v>
                </pt>
                <pt idx="7">
                  <v>2033</v>
                </pt>
                <pt idx="8">
                  <v>2034</v>
                </pt>
                <pt idx="9">
                  <v>2035</v>
                </pt>
                <pt idx="10">
                  <v>2036</v>
                </pt>
                <pt idx="11">
                  <v>2037</v>
                </pt>
                <pt idx="12">
                  <v>2038</v>
                </pt>
                <pt idx="13">
                  <v>2039</v>
                </pt>
                <pt idx="14">
                  <v>2040</v>
                </pt>
                <pt idx="15">
                  <v>2041</v>
                </pt>
                <pt idx="16">
                  <v>2042</v>
                </pt>
                <pt idx="17">
                  <v>2043</v>
                </pt>
                <pt idx="18">
                  <v>2044</v>
                </pt>
                <pt idx="19">
                  <v>2045</v>
                </pt>
              </strCache>
            </strRef>
          </cat>
          <val>
            <numRef>
              <f>'Tableau de bord'!$B$13:$B$32</f>
              <numCache>
                <formatCode>#,##0</formatCode>
                <ptCount val="2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</numCache>
            </numRef>
          </val>
          <smooth val="0"/>
        </ser>
        <ser>
          <idx val="1"/>
          <order val="1"/>
          <tx>
            <strRef>
              <f>'Tableau de bord'!$F$12</f>
              <strCache>
                <ptCount val="1"/>
                <pt idx="0">
                  <v>Coût employeur</v>
                </pt>
              </strCache>
            </strRef>
          </tx>
          <spPr>
            <a:solidFill xmlns:a="http://schemas.openxmlformats.org/drawingml/2006/main">
              <a:srgbClr val="c9a84c"/>
            </a:solidFill>
            <a:ln xmlns:a="http://schemas.openxmlformats.org/drawingml/2006/main" w="47520">
              <a:solidFill>
                <a:srgbClr val="c9a84c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txPr>
              <a:bodyPr xmlns:a="http://schemas.openxmlformats.org/drawingml/2006/main" wrap="square"/>
              <a:lstStyle xmlns:a="http://schemas.openxmlformats.org/drawingml/2006/main"/>
              <a:p xmlns:a="http://schemas.openxmlformats.org/drawingml/2006/main"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r>
                  <a:t>None</a:t>
                </a:r>
              </a:p>
            </txPr>
            <dLblPos val="r"/>
            <showLegendKey val="0"/>
            <showVal val="0"/>
            <showCatName val="0"/>
            <showSerName val="0"/>
            <showPercent val="0"/>
            <showLeaderLines val="0"/>
          </dLbls>
          <cat>
            <strRef>
              <f>'Tableau de bord'!$A$13:$A$32</f>
              <strCache>
                <ptCount val="20"/>
                <pt idx="0">
                  <v>2026</v>
                </pt>
                <pt idx="1">
                  <v>2027</v>
                </pt>
                <pt idx="2">
                  <v>2028</v>
                </pt>
                <pt idx="3">
                  <v>2029</v>
                </pt>
                <pt idx="4">
                  <v>2030</v>
                </pt>
                <pt idx="5">
                  <v>2031</v>
                </pt>
                <pt idx="6">
                  <v>2032</v>
                </pt>
                <pt idx="7">
                  <v>2033</v>
                </pt>
                <pt idx="8">
                  <v>2034</v>
                </pt>
                <pt idx="9">
                  <v>2035</v>
                </pt>
                <pt idx="10">
                  <v>2036</v>
                </pt>
                <pt idx="11">
                  <v>2037</v>
                </pt>
                <pt idx="12">
                  <v>2038</v>
                </pt>
                <pt idx="13">
                  <v>2039</v>
                </pt>
                <pt idx="14">
                  <v>2040</v>
                </pt>
                <pt idx="15">
                  <v>2041</v>
                </pt>
                <pt idx="16">
                  <v>2042</v>
                </pt>
                <pt idx="17">
                  <v>2043</v>
                </pt>
                <pt idx="18">
                  <v>2044</v>
                </pt>
                <pt idx="19">
                  <v>2045</v>
                </pt>
              </strCache>
            </strRef>
          </cat>
          <val>
            <numRef>
              <f>'Tableau de bord'!$F$13:$F$32</f>
              <numCache>
                <formatCode>#,##0</formatCode>
                <ptCount val="2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</numCache>
            </numRef>
          </val>
          <smooth val="0"/>
        </ser>
        <hiLowLines>
          <spPr>
            <a:ln xmlns:a="http://schemas.openxmlformats.org/drawingml/2006/main" w="0">
              <a:noFill/>
              <a:prstDash val="solid"/>
            </a:ln>
          </spPr>
        </hiLowLines>
        <marker val="0"/>
        <axId val="63098473"/>
        <axId val="38278668"/>
      </lineChart>
      <catAx>
        <axId val="63098473"/>
        <scaling>
          <orientation val="minMax"/>
        </scaling>
        <delete val="0"/>
        <axPos val="b"/>
        <numFmt formatCode="General" sourceLinked="0"/>
        <majorTickMark val="none"/>
        <minorTickMark val="none"/>
        <tickLblPos val="nextTo"/>
        <spPr>
          <a:ln xmlns:a="http://schemas.openxmlformats.org/drawingml/2006/main" w="0">
            <a:solidFill>
              <a:srgbClr val="b3b3b3"/>
            </a:solidFill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</a:p>
        </txPr>
        <crossAx val="38278668"/>
        <crosses val="autoZero"/>
        <auto val="1"/>
        <lblAlgn val="ctr"/>
        <lblOffset val="100"/>
        <noMultiLvlLbl val="0"/>
      </catAx>
      <valAx>
        <axId val="38278668"/>
        <scaling>
          <orientation val="minMax"/>
        </scaling>
        <delete val="0"/>
        <axPos val="l"/>
        <majorGridlines>
          <spPr>
            <a:ln xmlns:a="http://schemas.openxmlformats.org/drawingml/2006/main" w="0">
              <a:solidFill>
                <a:srgbClr val="b3b3b3"/>
              </a:solidFill>
              <a:prstDash val="solid"/>
            </a:ln>
          </spPr>
        </majorGridlines>
        <title>
          <tx>
            <rich>
              <a:bodyPr xmlns:a="http://schemas.openxmlformats.org/drawingml/2006/main" rot="-5400000"/>
              <a:lstStyle xmlns:a="http://schemas.openxmlformats.org/drawingml/2006/main"/>
              <a:p xmlns:a="http://schemas.openxmlformats.org/drawingml/2006/main"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1" strike="noStrike" spc="-1">
                    <a:solidFill>
                      <a:srgbClr val="000000"/>
                    </a:solidFill>
                    <a:latin typeface="Calibri"/>
                  </a:rPr>
                  <a:t>FCFA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 w="0">
              <a:noFill/>
              <a:prstDash val="solid"/>
            </a:ln>
          </spPr>
        </title>
        <numFmt formatCode="#,##0" sourceLinked="0"/>
        <majorTickMark val="none"/>
        <minorTickMark val="none"/>
        <tickLblPos val="nextTo"/>
        <spPr>
          <a:ln xmlns:a="http://schemas.openxmlformats.org/drawingml/2006/main" w="0">
            <a:solidFill>
              <a:srgbClr val="b3b3b3"/>
            </a:solidFill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r>
              <a:t>None</a:t>
            </a:r>
          </a:p>
        </txPr>
        <crossAx val="6309847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 w="0">
          <a:noFill/>
          <a:prstDash val="solid"/>
        </a:ln>
      </spPr>
      <txPr>
        <a:bodyPr xmlns:a="http://schemas.openxmlformats.org/drawingml/2006/main"/>
        <a:lstStyle xmlns:a="http://schemas.openxmlformats.org/drawingml/2006/main"/>
        <a:p xmlns:a="http://schemas.openxmlformats.org/drawingml/2006/main"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r>
            <a:t>None</a:t>
          </a: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 w="9360">
      <a:solidFill>
        <a:srgbClr val="d9d9d9"/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image" Target="/xl/media/image2.png" Id="rId3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drawing1.xml><?xml version="1.0" encoding="utf-8"?>
<wsDr xmlns="http://schemas.openxmlformats.org/drawingml/2006/spreadsheetDrawing">
  <twoCellAnchor editAs="oneCell">
    <from>
      <col>5</col>
      <colOff>0</colOff>
      <row>1</row>
      <rowOff>0</rowOff>
    </from>
    <to>
      <col>8</col>
      <colOff>545040</colOff>
      <row>5</row>
      <rowOff>55080</rowOff>
    </to>
    <pic>
      <nvPicPr>
        <cNvPr id="0" name="Image 1" descr="Picture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0209600" y="190440"/>
          <a:ext cx="2387160" cy="902880"/>
        </a:xfrm>
        <a:prstGeom xmlns:a="http://schemas.openxmlformats.org/drawingml/2006/main" prst="rect">
          <avLst/>
        </a:prstGeom>
        <a:ln xmlns:a="http://schemas.openxmlformats.org/drawingml/2006/main" w="0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0</colOff>
      <row>34</row>
      <rowOff>0</rowOff>
    </from>
    <to>
      <col>5</col>
      <colOff>464040</colOff>
      <row>49</row>
      <rowOff>20520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 editAs="oneCell">
    <from>
      <col>0</col>
      <colOff>0</colOff>
      <row>51</row>
      <rowOff>0</rowOff>
    </from>
    <to>
      <col>5</col>
      <colOff>464040</colOff>
      <row>66</row>
      <rowOff>20160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 editAs="oneCell">
    <from>
      <col>0</col>
      <colOff>0</colOff>
      <row>1</row>
      <rowOff>0</rowOff>
    </from>
    <to>
      <col>1</col>
      <colOff>912240</colOff>
      <row>2</row>
      <rowOff>283680</rowOff>
    </to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0" y="219240"/>
          <a:ext cx="1617120" cy="607320"/>
        </a:xfrm>
        <a:prstGeom xmlns:a="http://schemas.openxmlformats.org/drawingml/2006/main" prst="rect">
          <avLst/>
        </a:prstGeom>
        <a:ln xmlns:a="http://schemas.openxmlformats.org/drawingml/2006/main" w="0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0</col>
      <colOff>0</colOff>
      <row>0</row>
      <rowOff>0</rowOff>
    </from>
    <to>
      <col>1</col>
      <colOff>397800</colOff>
      <row>1</row>
      <rowOff>302760</rowOff>
    </to>
    <pic>
      <nvPicPr>
        <cNvPr id="4" name="Image 1" descr="Picture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0"/>
          <a:ext cx="1807560" cy="683640"/>
        </a:xfrm>
        <a:prstGeom xmlns:a="http://schemas.openxmlformats.org/drawingml/2006/main" prst="rect">
          <avLst/>
        </a:prstGeom>
        <a:ln xmlns:a="http://schemas.openxmlformats.org/drawingml/2006/main" w="0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B2:H29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71484375" defaultRowHeight="15" zeroHeight="0" outlineLevelRow="0"/>
  <cols>
    <col width="110" customWidth="1" style="70" min="2" max="2"/>
  </cols>
  <sheetData>
    <row r="2" ht="21.75" customHeight="1" s="71">
      <c r="B2" s="72" t="inlineStr">
        <is>
          <t>ECLOSION EDITION SARL</t>
        </is>
      </c>
    </row>
    <row r="3" ht="15" customHeight="1" s="71">
      <c r="B3" s="73" t="inlineStr">
        <is>
          <t>MOTEUR DE PAIE V2 — Fichier pluriannuel (20 ans et plus)</t>
        </is>
      </c>
    </row>
    <row r="5" ht="15" customHeight="1" s="71">
      <c r="B5" s="74" t="inlineStr">
        <is>
          <t>UTILISATION MENSUELLE (4 étapes)</t>
        </is>
      </c>
    </row>
    <row r="6" ht="15" customHeight="1" s="71">
      <c r="B6" s="75" t="inlineStr">
        <is>
          <t>1. Onglet Paramètres : vérifier la période (B3) et la date de paiement (B4).</t>
        </is>
      </c>
    </row>
    <row r="7" ht="15" customHeight="1" s="71">
      <c r="B7" s="75" t="inlineStr">
        <is>
          <t>2. Onglet Retenues internes : saisir les avances, remboursements, absences et retards du mois (Période = 1er du mois).</t>
        </is>
      </c>
    </row>
    <row r="8" ht="15" customHeight="1" s="71">
      <c r="B8" s="75" t="inlineStr">
        <is>
          <t>3. Contrôler le Livre de paie (calcul automatique) puis imprimer/PDF les bulletins (macro « GenererBulletinsPDF »).</t>
        </is>
      </c>
    </row>
    <row r="9" ht="15" customHeight="1" s="71">
      <c r="B9" s="75" t="inlineStr">
        <is>
          <t>4. Fin de mois : lancer la macro « CloturerMois » (Alt+F8) → le mois est figé dans le Journal de paie et la période avance automatiquement.</t>
        </is>
      </c>
    </row>
    <row r="11" ht="15" customHeight="1" s="71">
      <c r="B11" s="74" t="inlineStr">
        <is>
          <t>MACROS DISPONIBLES (Alt+F8)</t>
        </is>
      </c>
    </row>
    <row r="12" ht="15" customHeight="1" s="71">
      <c r="B12" s="75" t="inlineStr">
        <is>
          <t>• CloturerMois — fige le mois dans le Journal de paie (anti-doublon intégré) et propose de passer au mois suivant.</t>
        </is>
      </c>
    </row>
    <row r="13" ht="15" customHeight="1" s="71">
      <c r="B13" s="75" t="inlineStr">
        <is>
          <t>• GenererBulletinsPDF — crée un PDF de bulletin par salarié actif dans le dossier Bulletins_PDF\&lt;période&gt;\ à côté du fichier.</t>
        </is>
      </c>
    </row>
    <row r="14" ht="15" customHeight="1" s="71">
      <c r="B14" s="75" t="inlineStr">
        <is>
          <t>• EnvoyerBulletinsParEmail — prépare un email Outlook par salarié avec son bulletin PDF en pièce jointe (colonne Email de l'onglet Employés).</t>
        </is>
      </c>
    </row>
    <row r="15" ht="15" customHeight="1" s="71">
      <c r="B15" s="75" t="inlineStr">
        <is>
          <t>• DeverrouillerTout / VerrouillerTout — lève ou remet la protection de toutes les feuilles après saisie du code d'accès.</t>
        </is>
      </c>
    </row>
    <row r="17" ht="15" customHeight="1" s="71">
      <c r="B17" s="74" t="inlineStr">
        <is>
          <t>CODE D'ACCÈS ADMINISTRATEUR</t>
        </is>
      </c>
    </row>
    <row r="18" ht="15" customHeight="1" s="71">
      <c r="B18" s="75" t="inlineStr">
        <is>
          <t>Toutes les feuilles sont protégées : la saisie n'est possible que dans les cellules bleues. Toute autre modification exige le code d'accès.</t>
        </is>
      </c>
    </row>
    <row r="19" ht="15" customHeight="1" s="71">
      <c r="B19" s="75" t="inlineStr">
        <is>
          <t>Code par défaut : ECL2026 — à changer dans le module VBA (constante MOT_DE_PASSE_ADMIN) et via Révision &gt; Protéger la feuille.</t>
        </is>
      </c>
    </row>
    <row r="21" ht="15" customHeight="1" s="71">
      <c r="B21" s="74" t="inlineStr">
        <is>
          <t>ACTIVATION DES MACROS (une seule fois, 2 minutes)</t>
        </is>
      </c>
    </row>
    <row r="22" ht="15" customHeight="1" s="71">
      <c r="B22" s="75" t="inlineStr">
        <is>
          <t>1. Ouvrir ce fichier dans Excel → Alt+F11 → Fichier &gt; Importer un fichier… → choisir « Module_Paie_Eclosion.bas ».</t>
        </is>
      </c>
    </row>
    <row r="23" ht="15" customHeight="1" s="71">
      <c r="B23" s="75" t="inlineStr">
        <is>
          <t>2. Fermer l'éditeur VBA → Fichier &gt; Enregistrer sous → type « Classeur Excel (prenant en charge les macros) (*.xlsm) ».</t>
        </is>
      </c>
    </row>
    <row r="24" ht="15" customHeight="1" s="71">
      <c r="B24" s="75" t="inlineStr">
        <is>
          <t>3. Rouvrir le fichier .xlsm et activer les macros. Les 5 macros sont ensuite disponibles en 1 clic via Alt+F8 (ou des boutons que vous pouvez ajouter).</t>
        </is>
      </c>
    </row>
    <row r="26" ht="15" customHeight="1" s="71">
      <c r="B26" s="74" t="inlineStr">
        <is>
          <t>RÈGLES D'OR DU FICHIER 20 ANS</t>
        </is>
      </c>
    </row>
    <row r="27" ht="15" customHeight="1" s="71">
      <c r="B27" s="75" t="inlineStr">
        <is>
          <t>• Ne jamais supprimer une ligne d'Employés (statut « Sorti » à la place) ni une ligne du Journal de paie.</t>
        </is>
      </c>
    </row>
    <row r="28" ht="15" customHeight="1" s="71">
      <c r="B28" s="75" t="inlineStr">
        <is>
          <t>• Changement de législation : AJOUTER une ligne datée dans les tables versionnées de Paramètres (taux, IRPP, TC/RAV). Ne jamais écraser une ancienne valeur.</t>
        </is>
      </c>
    </row>
    <row r="29" ht="15" customHeight="1" s="71">
      <c r="B29" s="75" t="inlineStr">
        <is>
          <t>• Rééditer un bulletin passé : onglet Bulletin → saisir le matricule et la période archivée (le bulletin lit alors le Journal de paie).</t>
        </is>
      </c>
    </row>
  </sheetData>
  <mergeCells count="21">
    <mergeCell ref="B9:H9"/>
    <mergeCell ref="B6:H6"/>
    <mergeCell ref="B24:H24"/>
    <mergeCell ref="B15:H15"/>
    <mergeCell ref="B5:H5"/>
    <mergeCell ref="B26:H26"/>
    <mergeCell ref="B7:H7"/>
    <mergeCell ref="B22:H22"/>
    <mergeCell ref="B18:H18"/>
    <mergeCell ref="B27:H27"/>
    <mergeCell ref="B21:H21"/>
    <mergeCell ref="B12:H12"/>
    <mergeCell ref="B11:H11"/>
    <mergeCell ref="B23:H23"/>
    <mergeCell ref="B8:H8"/>
    <mergeCell ref="B14:H14"/>
    <mergeCell ref="B17:H17"/>
    <mergeCell ref="B13:H13"/>
    <mergeCell ref="B29:H29"/>
    <mergeCell ref="B19:H19"/>
    <mergeCell ref="B28:H28"/>
  </mergeCell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outlinePr summaryBelow="1" summaryRight="1"/>
    <pageSetUpPr fitToPage="0"/>
  </sheetPr>
  <dimension ref="A1:H34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71484375" defaultRowHeight="15" zeroHeight="0" outlineLevelRow="0"/>
  <cols>
    <col width="10" customWidth="1" style="70" min="1" max="1"/>
    <col width="15" customWidth="1" style="70" min="2" max="6"/>
    <col width="16" customWidth="1" style="70" min="7" max="7"/>
    <col width="15" customWidth="1" style="70" min="8" max="8"/>
  </cols>
  <sheetData>
    <row r="1" ht="17.25" customHeight="1" s="71">
      <c r="A1" s="76">
        <f>"TABLEAU DE BORD PAIE — ECLOSION EDITION SARL — "&amp;PERIODE_LIBELLE</f>
        <v/>
      </c>
    </row>
    <row r="2" ht="25.5" customHeight="1" s="71"/>
    <row r="3" ht="25.5" customHeight="1" s="71"/>
    <row r="4" ht="32.25" customHeight="1" s="71">
      <c r="B4" s="77" t="inlineStr">
        <is>
          <t>EFFECTIF ACTIF</t>
        </is>
      </c>
      <c r="D4" s="77" t="inlineStr">
        <is>
          <t>MASSE SALARIALE BRUTE</t>
        </is>
      </c>
      <c r="F4" s="77" t="inlineStr">
        <is>
          <t>TOTAL NET À PAYER</t>
        </is>
      </c>
      <c r="H4" s="77" t="inlineStr">
        <is>
          <t>COÛT TOTAL EMPLOYEUR</t>
        </is>
      </c>
    </row>
    <row r="5" ht="15.75" customHeight="1" s="71">
      <c r="B5" s="78">
        <f>COUNTIF(Employés!N5:N64,"Actif")</f>
        <v/>
      </c>
      <c r="D5" s="79">
        <f>'Livre de paie'!H65</f>
        <v/>
      </c>
      <c r="F5" s="79">
        <f>'Livre de paie'!AC65</f>
        <v/>
      </c>
      <c r="H5" s="79">
        <f>'Livre de paie'!AD65</f>
        <v/>
      </c>
    </row>
    <row r="7" ht="21.75" customHeight="1" s="71">
      <c r="B7" s="77" t="inlineStr">
        <is>
          <t>RETENUES SALARIALES</t>
        </is>
      </c>
      <c r="D7" s="77" t="inlineStr">
        <is>
          <t>CHARGES PATRONALES</t>
        </is>
      </c>
      <c r="F7" s="77" t="inlineStr">
        <is>
          <t>À VERSER CNPS</t>
        </is>
      </c>
      <c r="H7" s="77" t="inlineStr">
        <is>
          <t>À VERSER DGI</t>
        </is>
      </c>
    </row>
    <row r="8" ht="15.75" customHeight="1" s="71">
      <c r="B8" s="79">
        <f>'Livre de paie'!AA65</f>
        <v/>
      </c>
      <c r="D8" s="79">
        <f>'Livre de paie'!AB65</f>
        <v/>
      </c>
      <c r="F8" s="79">
        <f>'Déclarations CNPS'!K66</f>
        <v/>
      </c>
      <c r="H8" s="79">
        <f>'Déclarations fiscales'!M66</f>
        <v/>
      </c>
    </row>
    <row r="11" ht="15" customHeight="1" s="71">
      <c r="A11" s="80" t="inlineStr">
        <is>
          <t>SYNTHÈSE PLURIANNUELLE (calculée depuis le Journal de paie — se remplit au fil des clôtures)</t>
        </is>
      </c>
    </row>
    <row r="12" ht="21.75" customHeight="1" s="71">
      <c r="A12" s="81" t="inlineStr">
        <is>
          <t>Année</t>
        </is>
      </c>
      <c r="B12" s="81" t="inlineStr">
        <is>
          <t>Masse brute</t>
        </is>
      </c>
      <c r="C12" s="81" t="inlineStr">
        <is>
          <t>Net versé</t>
        </is>
      </c>
      <c r="D12" s="81" t="inlineStr">
        <is>
          <t>CNPS versée</t>
        </is>
      </c>
      <c r="E12" s="81" t="inlineStr">
        <is>
          <t>DGI reversée</t>
        </is>
      </c>
      <c r="F12" s="81" t="inlineStr">
        <is>
          <t>Coût employeur</t>
        </is>
      </c>
      <c r="G12" s="81" t="inlineStr">
        <is>
          <t>Effectif moyen payé</t>
        </is>
      </c>
    </row>
    <row r="13" ht="15" customHeight="1" s="71">
      <c r="A13" s="82" t="n">
        <v>2026</v>
      </c>
      <c r="B13" s="83">
        <f>SUMIFS('Journal de paie'!$I:$I,'Journal de paie'!$A:$A,"&gt;="&amp;DATE($A13,1,1),'Journal de paie'!$A:$A,"&lt;"&amp;DATE($A13+1,1,1))</f>
        <v/>
      </c>
      <c r="C13" s="83">
        <f>SUMIFS('Journal de paie'!$Y:$Y,'Journal de paie'!$A:$A,"&gt;="&amp;DATE($A13,1,1),'Journal de paie'!$A:$A,"&lt;"&amp;DATE($A13+1,1,1))</f>
        <v/>
      </c>
      <c r="D13" s="83">
        <f>SUMIFS('Journal de paie'!$L:$L,'Journal de paie'!$A:$A,"&gt;="&amp;DATE($A13,1,1),'Journal de paie'!$A:$A,"&lt;"&amp;DATE($A13+1,1,1))+SUMIFS('Journal de paie'!$M:$M,'Journal de paie'!$A:$A,"&gt;="&amp;DATE($A13,1,1),'Journal de paie'!$A:$A,"&lt;"&amp;DATE($A13+1,1,1))+SUMIFS('Journal de paie'!$N:$N,'Journal de paie'!$A:$A,"&gt;="&amp;DATE($A13,1,1),'Journal de paie'!$A:$A,"&lt;"&amp;DATE($A13+1,1,1))+SUMIFS('Journal de paie'!$O:$O,'Journal de paie'!$A:$A,"&gt;="&amp;DATE($A13,1,1),'Journal de paie'!$A:$A,"&lt;"&amp;DATE($A13+1,1,1))</f>
        <v/>
      </c>
      <c r="E13" s="83">
        <f>SUMIFS('Journal de paie'!$W:$W,'Journal de paie'!$A:$A,"&gt;="&amp;DATE($A13,1,1),'Journal de paie'!$A:$A,"&lt;"&amp;DATE($A13+1,1,1))-SUMIFS('Journal de paie'!$L:$L,'Journal de paie'!$A:$A,"&gt;="&amp;DATE($A13,1,1),'Journal de paie'!$A:$A,"&lt;"&amp;DATE($A13+1,1,1))+SUMIFS('Journal de paie'!$Q:$Q,'Journal de paie'!$A:$A,"&gt;="&amp;DATE($A13,1,1),'Journal de paie'!$A:$A,"&lt;"&amp;DATE($A13+1,1,1))+SUMIFS('Journal de paie'!$R:$R,'Journal de paie'!$A:$A,"&gt;="&amp;DATE($A13,1,1),'Journal de paie'!$A:$A,"&lt;"&amp;DATE($A13+1,1,1))</f>
        <v/>
      </c>
      <c r="F13" s="83">
        <f>SUMIFS('Journal de paie'!$Z:$Z,'Journal de paie'!$A:$A,"&gt;="&amp;DATE($A13,1,1),'Journal de paie'!$A:$A,"&lt;"&amp;DATE($A13+1,1,1))</f>
        <v/>
      </c>
      <c r="G13" s="84">
        <f>IFERROR(ROUND(COUNTIFS('Journal de paie'!$A:$A,"&gt;="&amp;DATE($A13,1,1),'Journal de paie'!$A:$A,"&lt;"&amp;DATE($A13+1,1,1))/MAX(SUMPRODUCT((COUNTIFS('Journal de paie'!$A:$A,"&gt;="&amp;DATE($A13,1,1),'Journal de paie'!$A:$A,"&lt;"&amp;DATE($A13+1,1,1))&gt;0)*12),1),1),0)</f>
        <v/>
      </c>
    </row>
    <row r="14" ht="15" customHeight="1" s="71">
      <c r="A14" s="82" t="n">
        <v>2027</v>
      </c>
      <c r="B14" s="83">
        <f>SUMIFS('Journal de paie'!$I:$I,'Journal de paie'!$A:$A,"&gt;="&amp;DATE($A14,1,1),'Journal de paie'!$A:$A,"&lt;"&amp;DATE($A14+1,1,1))</f>
        <v/>
      </c>
      <c r="C14" s="83">
        <f>SUMIFS('Journal de paie'!$Y:$Y,'Journal de paie'!$A:$A,"&gt;="&amp;DATE($A14,1,1),'Journal de paie'!$A:$A,"&lt;"&amp;DATE($A14+1,1,1))</f>
        <v/>
      </c>
      <c r="D14" s="83">
        <f>SUMIFS('Journal de paie'!$L:$L,'Journal de paie'!$A:$A,"&gt;="&amp;DATE($A14,1,1),'Journal de paie'!$A:$A,"&lt;"&amp;DATE($A14+1,1,1))+SUMIFS('Journal de paie'!$M:$M,'Journal de paie'!$A:$A,"&gt;="&amp;DATE($A14,1,1),'Journal de paie'!$A:$A,"&lt;"&amp;DATE($A14+1,1,1))+SUMIFS('Journal de paie'!$N:$N,'Journal de paie'!$A:$A,"&gt;="&amp;DATE($A14,1,1),'Journal de paie'!$A:$A,"&lt;"&amp;DATE($A14+1,1,1))+SUMIFS('Journal de paie'!$O:$O,'Journal de paie'!$A:$A,"&gt;="&amp;DATE($A14,1,1),'Journal de paie'!$A:$A,"&lt;"&amp;DATE($A14+1,1,1))</f>
        <v/>
      </c>
      <c r="E14" s="83">
        <f>SUMIFS('Journal de paie'!$W:$W,'Journal de paie'!$A:$A,"&gt;="&amp;DATE($A14,1,1),'Journal de paie'!$A:$A,"&lt;"&amp;DATE($A14+1,1,1))-SUMIFS('Journal de paie'!$L:$L,'Journal de paie'!$A:$A,"&gt;="&amp;DATE($A14,1,1),'Journal de paie'!$A:$A,"&lt;"&amp;DATE($A14+1,1,1))+SUMIFS('Journal de paie'!$Q:$Q,'Journal de paie'!$A:$A,"&gt;="&amp;DATE($A14,1,1),'Journal de paie'!$A:$A,"&lt;"&amp;DATE($A14+1,1,1))+SUMIFS('Journal de paie'!$R:$R,'Journal de paie'!$A:$A,"&gt;="&amp;DATE($A14,1,1),'Journal de paie'!$A:$A,"&lt;"&amp;DATE($A14+1,1,1))</f>
        <v/>
      </c>
      <c r="F14" s="83">
        <f>SUMIFS('Journal de paie'!$Z:$Z,'Journal de paie'!$A:$A,"&gt;="&amp;DATE($A14,1,1),'Journal de paie'!$A:$A,"&lt;"&amp;DATE($A14+1,1,1))</f>
        <v/>
      </c>
      <c r="G14" s="84">
        <f>IFERROR(ROUND(COUNTIFS('Journal de paie'!$A:$A,"&gt;="&amp;DATE($A14,1,1),'Journal de paie'!$A:$A,"&lt;"&amp;DATE($A14+1,1,1))/MAX(SUMPRODUCT((COUNTIFS('Journal de paie'!$A:$A,"&gt;="&amp;DATE($A14,1,1),'Journal de paie'!$A:$A,"&lt;"&amp;DATE($A14+1,1,1))&gt;0)*12),1),1),0)</f>
        <v/>
      </c>
    </row>
    <row r="15" ht="15" customHeight="1" s="71">
      <c r="A15" s="82" t="n">
        <v>2028</v>
      </c>
      <c r="B15" s="83">
        <f>SUMIFS('Journal de paie'!$I:$I,'Journal de paie'!$A:$A,"&gt;="&amp;DATE($A15,1,1),'Journal de paie'!$A:$A,"&lt;"&amp;DATE($A15+1,1,1))</f>
        <v/>
      </c>
      <c r="C15" s="83">
        <f>SUMIFS('Journal de paie'!$Y:$Y,'Journal de paie'!$A:$A,"&gt;="&amp;DATE($A15,1,1),'Journal de paie'!$A:$A,"&lt;"&amp;DATE($A15+1,1,1))</f>
        <v/>
      </c>
      <c r="D15" s="83">
        <f>SUMIFS('Journal de paie'!$L:$L,'Journal de paie'!$A:$A,"&gt;="&amp;DATE($A15,1,1),'Journal de paie'!$A:$A,"&lt;"&amp;DATE($A15+1,1,1))+SUMIFS('Journal de paie'!$M:$M,'Journal de paie'!$A:$A,"&gt;="&amp;DATE($A15,1,1),'Journal de paie'!$A:$A,"&lt;"&amp;DATE($A15+1,1,1))+SUMIFS('Journal de paie'!$N:$N,'Journal de paie'!$A:$A,"&gt;="&amp;DATE($A15,1,1),'Journal de paie'!$A:$A,"&lt;"&amp;DATE($A15+1,1,1))+SUMIFS('Journal de paie'!$O:$O,'Journal de paie'!$A:$A,"&gt;="&amp;DATE($A15,1,1),'Journal de paie'!$A:$A,"&lt;"&amp;DATE($A15+1,1,1))</f>
        <v/>
      </c>
      <c r="E15" s="83">
        <f>SUMIFS('Journal de paie'!$W:$W,'Journal de paie'!$A:$A,"&gt;="&amp;DATE($A15,1,1),'Journal de paie'!$A:$A,"&lt;"&amp;DATE($A15+1,1,1))-SUMIFS('Journal de paie'!$L:$L,'Journal de paie'!$A:$A,"&gt;="&amp;DATE($A15,1,1),'Journal de paie'!$A:$A,"&lt;"&amp;DATE($A15+1,1,1))+SUMIFS('Journal de paie'!$Q:$Q,'Journal de paie'!$A:$A,"&gt;="&amp;DATE($A15,1,1),'Journal de paie'!$A:$A,"&lt;"&amp;DATE($A15+1,1,1))+SUMIFS('Journal de paie'!$R:$R,'Journal de paie'!$A:$A,"&gt;="&amp;DATE($A15,1,1),'Journal de paie'!$A:$A,"&lt;"&amp;DATE($A15+1,1,1))</f>
        <v/>
      </c>
      <c r="F15" s="83">
        <f>SUMIFS('Journal de paie'!$Z:$Z,'Journal de paie'!$A:$A,"&gt;="&amp;DATE($A15,1,1),'Journal de paie'!$A:$A,"&lt;"&amp;DATE($A15+1,1,1))</f>
        <v/>
      </c>
      <c r="G15" s="84">
        <f>IFERROR(ROUND(COUNTIFS('Journal de paie'!$A:$A,"&gt;="&amp;DATE($A15,1,1),'Journal de paie'!$A:$A,"&lt;"&amp;DATE($A15+1,1,1))/MAX(SUMPRODUCT((COUNTIFS('Journal de paie'!$A:$A,"&gt;="&amp;DATE($A15,1,1),'Journal de paie'!$A:$A,"&lt;"&amp;DATE($A15+1,1,1))&gt;0)*12),1),1),0)</f>
        <v/>
      </c>
    </row>
    <row r="16" ht="15" customHeight="1" s="71">
      <c r="A16" s="82" t="n">
        <v>2029</v>
      </c>
      <c r="B16" s="83">
        <f>SUMIFS('Journal de paie'!$I:$I,'Journal de paie'!$A:$A,"&gt;="&amp;DATE($A16,1,1),'Journal de paie'!$A:$A,"&lt;"&amp;DATE($A16+1,1,1))</f>
        <v/>
      </c>
      <c r="C16" s="83">
        <f>SUMIFS('Journal de paie'!$Y:$Y,'Journal de paie'!$A:$A,"&gt;="&amp;DATE($A16,1,1),'Journal de paie'!$A:$A,"&lt;"&amp;DATE($A16+1,1,1))</f>
        <v/>
      </c>
      <c r="D16" s="83">
        <f>SUMIFS('Journal de paie'!$L:$L,'Journal de paie'!$A:$A,"&gt;="&amp;DATE($A16,1,1),'Journal de paie'!$A:$A,"&lt;"&amp;DATE($A16+1,1,1))+SUMIFS('Journal de paie'!$M:$M,'Journal de paie'!$A:$A,"&gt;="&amp;DATE($A16,1,1),'Journal de paie'!$A:$A,"&lt;"&amp;DATE($A16+1,1,1))+SUMIFS('Journal de paie'!$N:$N,'Journal de paie'!$A:$A,"&gt;="&amp;DATE($A16,1,1),'Journal de paie'!$A:$A,"&lt;"&amp;DATE($A16+1,1,1))+SUMIFS('Journal de paie'!$O:$O,'Journal de paie'!$A:$A,"&gt;="&amp;DATE($A16,1,1),'Journal de paie'!$A:$A,"&lt;"&amp;DATE($A16+1,1,1))</f>
        <v/>
      </c>
      <c r="E16" s="83">
        <f>SUMIFS('Journal de paie'!$W:$W,'Journal de paie'!$A:$A,"&gt;="&amp;DATE($A16,1,1),'Journal de paie'!$A:$A,"&lt;"&amp;DATE($A16+1,1,1))-SUMIFS('Journal de paie'!$L:$L,'Journal de paie'!$A:$A,"&gt;="&amp;DATE($A16,1,1),'Journal de paie'!$A:$A,"&lt;"&amp;DATE($A16+1,1,1))+SUMIFS('Journal de paie'!$Q:$Q,'Journal de paie'!$A:$A,"&gt;="&amp;DATE($A16,1,1),'Journal de paie'!$A:$A,"&lt;"&amp;DATE($A16+1,1,1))+SUMIFS('Journal de paie'!$R:$R,'Journal de paie'!$A:$A,"&gt;="&amp;DATE($A16,1,1),'Journal de paie'!$A:$A,"&lt;"&amp;DATE($A16+1,1,1))</f>
        <v/>
      </c>
      <c r="F16" s="83">
        <f>SUMIFS('Journal de paie'!$Z:$Z,'Journal de paie'!$A:$A,"&gt;="&amp;DATE($A16,1,1),'Journal de paie'!$A:$A,"&lt;"&amp;DATE($A16+1,1,1))</f>
        <v/>
      </c>
      <c r="G16" s="84">
        <f>IFERROR(ROUND(COUNTIFS('Journal de paie'!$A:$A,"&gt;="&amp;DATE($A16,1,1),'Journal de paie'!$A:$A,"&lt;"&amp;DATE($A16+1,1,1))/MAX(SUMPRODUCT((COUNTIFS('Journal de paie'!$A:$A,"&gt;="&amp;DATE($A16,1,1),'Journal de paie'!$A:$A,"&lt;"&amp;DATE($A16+1,1,1))&gt;0)*12),1),1),0)</f>
        <v/>
      </c>
    </row>
    <row r="17" ht="15" customHeight="1" s="71">
      <c r="A17" s="82" t="n">
        <v>2030</v>
      </c>
      <c r="B17" s="83">
        <f>SUMIFS('Journal de paie'!$I:$I,'Journal de paie'!$A:$A,"&gt;="&amp;DATE($A17,1,1),'Journal de paie'!$A:$A,"&lt;"&amp;DATE($A17+1,1,1))</f>
        <v/>
      </c>
      <c r="C17" s="83">
        <f>SUMIFS('Journal de paie'!$Y:$Y,'Journal de paie'!$A:$A,"&gt;="&amp;DATE($A17,1,1),'Journal de paie'!$A:$A,"&lt;"&amp;DATE($A17+1,1,1))</f>
        <v/>
      </c>
      <c r="D17" s="83">
        <f>SUMIFS('Journal de paie'!$L:$L,'Journal de paie'!$A:$A,"&gt;="&amp;DATE($A17,1,1),'Journal de paie'!$A:$A,"&lt;"&amp;DATE($A17+1,1,1))+SUMIFS('Journal de paie'!$M:$M,'Journal de paie'!$A:$A,"&gt;="&amp;DATE($A17,1,1),'Journal de paie'!$A:$A,"&lt;"&amp;DATE($A17+1,1,1))+SUMIFS('Journal de paie'!$N:$N,'Journal de paie'!$A:$A,"&gt;="&amp;DATE($A17,1,1),'Journal de paie'!$A:$A,"&lt;"&amp;DATE($A17+1,1,1))+SUMIFS('Journal de paie'!$O:$O,'Journal de paie'!$A:$A,"&gt;="&amp;DATE($A17,1,1),'Journal de paie'!$A:$A,"&lt;"&amp;DATE($A17+1,1,1))</f>
        <v/>
      </c>
      <c r="E17" s="83">
        <f>SUMIFS('Journal de paie'!$W:$W,'Journal de paie'!$A:$A,"&gt;="&amp;DATE($A17,1,1),'Journal de paie'!$A:$A,"&lt;"&amp;DATE($A17+1,1,1))-SUMIFS('Journal de paie'!$L:$L,'Journal de paie'!$A:$A,"&gt;="&amp;DATE($A17,1,1),'Journal de paie'!$A:$A,"&lt;"&amp;DATE($A17+1,1,1))+SUMIFS('Journal de paie'!$Q:$Q,'Journal de paie'!$A:$A,"&gt;="&amp;DATE($A17,1,1),'Journal de paie'!$A:$A,"&lt;"&amp;DATE($A17+1,1,1))+SUMIFS('Journal de paie'!$R:$R,'Journal de paie'!$A:$A,"&gt;="&amp;DATE($A17,1,1),'Journal de paie'!$A:$A,"&lt;"&amp;DATE($A17+1,1,1))</f>
        <v/>
      </c>
      <c r="F17" s="83">
        <f>SUMIFS('Journal de paie'!$Z:$Z,'Journal de paie'!$A:$A,"&gt;="&amp;DATE($A17,1,1),'Journal de paie'!$A:$A,"&lt;"&amp;DATE($A17+1,1,1))</f>
        <v/>
      </c>
      <c r="G17" s="84">
        <f>IFERROR(ROUND(COUNTIFS('Journal de paie'!$A:$A,"&gt;="&amp;DATE($A17,1,1),'Journal de paie'!$A:$A,"&lt;"&amp;DATE($A17+1,1,1))/MAX(SUMPRODUCT((COUNTIFS('Journal de paie'!$A:$A,"&gt;="&amp;DATE($A17,1,1),'Journal de paie'!$A:$A,"&lt;"&amp;DATE($A17+1,1,1))&gt;0)*12),1),1),0)</f>
        <v/>
      </c>
    </row>
    <row r="18" ht="15" customHeight="1" s="71">
      <c r="A18" s="82" t="n">
        <v>2031</v>
      </c>
      <c r="B18" s="83">
        <f>SUMIFS('Journal de paie'!$I:$I,'Journal de paie'!$A:$A,"&gt;="&amp;DATE($A18,1,1),'Journal de paie'!$A:$A,"&lt;"&amp;DATE($A18+1,1,1))</f>
        <v/>
      </c>
      <c r="C18" s="83">
        <f>SUMIFS('Journal de paie'!$Y:$Y,'Journal de paie'!$A:$A,"&gt;="&amp;DATE($A18,1,1),'Journal de paie'!$A:$A,"&lt;"&amp;DATE($A18+1,1,1))</f>
        <v/>
      </c>
      <c r="D18" s="83">
        <f>SUMIFS('Journal de paie'!$L:$L,'Journal de paie'!$A:$A,"&gt;="&amp;DATE($A18,1,1),'Journal de paie'!$A:$A,"&lt;"&amp;DATE($A18+1,1,1))+SUMIFS('Journal de paie'!$M:$M,'Journal de paie'!$A:$A,"&gt;="&amp;DATE($A18,1,1),'Journal de paie'!$A:$A,"&lt;"&amp;DATE($A18+1,1,1))+SUMIFS('Journal de paie'!$N:$N,'Journal de paie'!$A:$A,"&gt;="&amp;DATE($A18,1,1),'Journal de paie'!$A:$A,"&lt;"&amp;DATE($A18+1,1,1))+SUMIFS('Journal de paie'!$O:$O,'Journal de paie'!$A:$A,"&gt;="&amp;DATE($A18,1,1),'Journal de paie'!$A:$A,"&lt;"&amp;DATE($A18+1,1,1))</f>
        <v/>
      </c>
      <c r="E18" s="83">
        <f>SUMIFS('Journal de paie'!$W:$W,'Journal de paie'!$A:$A,"&gt;="&amp;DATE($A18,1,1),'Journal de paie'!$A:$A,"&lt;"&amp;DATE($A18+1,1,1))-SUMIFS('Journal de paie'!$L:$L,'Journal de paie'!$A:$A,"&gt;="&amp;DATE($A18,1,1),'Journal de paie'!$A:$A,"&lt;"&amp;DATE($A18+1,1,1))+SUMIFS('Journal de paie'!$Q:$Q,'Journal de paie'!$A:$A,"&gt;="&amp;DATE($A18,1,1),'Journal de paie'!$A:$A,"&lt;"&amp;DATE($A18+1,1,1))+SUMIFS('Journal de paie'!$R:$R,'Journal de paie'!$A:$A,"&gt;="&amp;DATE($A18,1,1),'Journal de paie'!$A:$A,"&lt;"&amp;DATE($A18+1,1,1))</f>
        <v/>
      </c>
      <c r="F18" s="83">
        <f>SUMIFS('Journal de paie'!$Z:$Z,'Journal de paie'!$A:$A,"&gt;="&amp;DATE($A18,1,1),'Journal de paie'!$A:$A,"&lt;"&amp;DATE($A18+1,1,1))</f>
        <v/>
      </c>
      <c r="G18" s="84">
        <f>IFERROR(ROUND(COUNTIFS('Journal de paie'!$A:$A,"&gt;="&amp;DATE($A18,1,1),'Journal de paie'!$A:$A,"&lt;"&amp;DATE($A18+1,1,1))/MAX(SUMPRODUCT((COUNTIFS('Journal de paie'!$A:$A,"&gt;="&amp;DATE($A18,1,1),'Journal de paie'!$A:$A,"&lt;"&amp;DATE($A18+1,1,1))&gt;0)*12),1),1),0)</f>
        <v/>
      </c>
    </row>
    <row r="19" ht="15" customHeight="1" s="71">
      <c r="A19" s="82" t="n">
        <v>2032</v>
      </c>
      <c r="B19" s="83">
        <f>SUMIFS('Journal de paie'!$I:$I,'Journal de paie'!$A:$A,"&gt;="&amp;DATE($A19,1,1),'Journal de paie'!$A:$A,"&lt;"&amp;DATE($A19+1,1,1))</f>
        <v/>
      </c>
      <c r="C19" s="83">
        <f>SUMIFS('Journal de paie'!$Y:$Y,'Journal de paie'!$A:$A,"&gt;="&amp;DATE($A19,1,1),'Journal de paie'!$A:$A,"&lt;"&amp;DATE($A19+1,1,1))</f>
        <v/>
      </c>
      <c r="D19" s="83">
        <f>SUMIFS('Journal de paie'!$L:$L,'Journal de paie'!$A:$A,"&gt;="&amp;DATE($A19,1,1),'Journal de paie'!$A:$A,"&lt;"&amp;DATE($A19+1,1,1))+SUMIFS('Journal de paie'!$M:$M,'Journal de paie'!$A:$A,"&gt;="&amp;DATE($A19,1,1),'Journal de paie'!$A:$A,"&lt;"&amp;DATE($A19+1,1,1))+SUMIFS('Journal de paie'!$N:$N,'Journal de paie'!$A:$A,"&gt;="&amp;DATE($A19,1,1),'Journal de paie'!$A:$A,"&lt;"&amp;DATE($A19+1,1,1))+SUMIFS('Journal de paie'!$O:$O,'Journal de paie'!$A:$A,"&gt;="&amp;DATE($A19,1,1),'Journal de paie'!$A:$A,"&lt;"&amp;DATE($A19+1,1,1))</f>
        <v/>
      </c>
      <c r="E19" s="83">
        <f>SUMIFS('Journal de paie'!$W:$W,'Journal de paie'!$A:$A,"&gt;="&amp;DATE($A19,1,1),'Journal de paie'!$A:$A,"&lt;"&amp;DATE($A19+1,1,1))-SUMIFS('Journal de paie'!$L:$L,'Journal de paie'!$A:$A,"&gt;="&amp;DATE($A19,1,1),'Journal de paie'!$A:$A,"&lt;"&amp;DATE($A19+1,1,1))+SUMIFS('Journal de paie'!$Q:$Q,'Journal de paie'!$A:$A,"&gt;="&amp;DATE($A19,1,1),'Journal de paie'!$A:$A,"&lt;"&amp;DATE($A19+1,1,1))+SUMIFS('Journal de paie'!$R:$R,'Journal de paie'!$A:$A,"&gt;="&amp;DATE($A19,1,1),'Journal de paie'!$A:$A,"&lt;"&amp;DATE($A19+1,1,1))</f>
        <v/>
      </c>
      <c r="F19" s="83">
        <f>SUMIFS('Journal de paie'!$Z:$Z,'Journal de paie'!$A:$A,"&gt;="&amp;DATE($A19,1,1),'Journal de paie'!$A:$A,"&lt;"&amp;DATE($A19+1,1,1))</f>
        <v/>
      </c>
      <c r="G19" s="84">
        <f>IFERROR(ROUND(COUNTIFS('Journal de paie'!$A:$A,"&gt;="&amp;DATE($A19,1,1),'Journal de paie'!$A:$A,"&lt;"&amp;DATE($A19+1,1,1))/MAX(SUMPRODUCT((COUNTIFS('Journal de paie'!$A:$A,"&gt;="&amp;DATE($A19,1,1),'Journal de paie'!$A:$A,"&lt;"&amp;DATE($A19+1,1,1))&gt;0)*12),1),1),0)</f>
        <v/>
      </c>
    </row>
    <row r="20" ht="15" customHeight="1" s="71">
      <c r="A20" s="82" t="n">
        <v>2033</v>
      </c>
      <c r="B20" s="83">
        <f>SUMIFS('Journal de paie'!$I:$I,'Journal de paie'!$A:$A,"&gt;="&amp;DATE($A20,1,1),'Journal de paie'!$A:$A,"&lt;"&amp;DATE($A20+1,1,1))</f>
        <v/>
      </c>
      <c r="C20" s="83">
        <f>SUMIFS('Journal de paie'!$Y:$Y,'Journal de paie'!$A:$A,"&gt;="&amp;DATE($A20,1,1),'Journal de paie'!$A:$A,"&lt;"&amp;DATE($A20+1,1,1))</f>
        <v/>
      </c>
      <c r="D20" s="83">
        <f>SUMIFS('Journal de paie'!$L:$L,'Journal de paie'!$A:$A,"&gt;="&amp;DATE($A20,1,1),'Journal de paie'!$A:$A,"&lt;"&amp;DATE($A20+1,1,1))+SUMIFS('Journal de paie'!$M:$M,'Journal de paie'!$A:$A,"&gt;="&amp;DATE($A20,1,1),'Journal de paie'!$A:$A,"&lt;"&amp;DATE($A20+1,1,1))+SUMIFS('Journal de paie'!$N:$N,'Journal de paie'!$A:$A,"&gt;="&amp;DATE($A20,1,1),'Journal de paie'!$A:$A,"&lt;"&amp;DATE($A20+1,1,1))+SUMIFS('Journal de paie'!$O:$O,'Journal de paie'!$A:$A,"&gt;="&amp;DATE($A20,1,1),'Journal de paie'!$A:$A,"&lt;"&amp;DATE($A20+1,1,1))</f>
        <v/>
      </c>
      <c r="E20" s="83">
        <f>SUMIFS('Journal de paie'!$W:$W,'Journal de paie'!$A:$A,"&gt;="&amp;DATE($A20,1,1),'Journal de paie'!$A:$A,"&lt;"&amp;DATE($A20+1,1,1))-SUMIFS('Journal de paie'!$L:$L,'Journal de paie'!$A:$A,"&gt;="&amp;DATE($A20,1,1),'Journal de paie'!$A:$A,"&lt;"&amp;DATE($A20+1,1,1))+SUMIFS('Journal de paie'!$Q:$Q,'Journal de paie'!$A:$A,"&gt;="&amp;DATE($A20,1,1),'Journal de paie'!$A:$A,"&lt;"&amp;DATE($A20+1,1,1))+SUMIFS('Journal de paie'!$R:$R,'Journal de paie'!$A:$A,"&gt;="&amp;DATE($A20,1,1),'Journal de paie'!$A:$A,"&lt;"&amp;DATE($A20+1,1,1))</f>
        <v/>
      </c>
      <c r="F20" s="83">
        <f>SUMIFS('Journal de paie'!$Z:$Z,'Journal de paie'!$A:$A,"&gt;="&amp;DATE($A20,1,1),'Journal de paie'!$A:$A,"&lt;"&amp;DATE($A20+1,1,1))</f>
        <v/>
      </c>
      <c r="G20" s="84">
        <f>IFERROR(ROUND(COUNTIFS('Journal de paie'!$A:$A,"&gt;="&amp;DATE($A20,1,1),'Journal de paie'!$A:$A,"&lt;"&amp;DATE($A20+1,1,1))/MAX(SUMPRODUCT((COUNTIFS('Journal de paie'!$A:$A,"&gt;="&amp;DATE($A20,1,1),'Journal de paie'!$A:$A,"&lt;"&amp;DATE($A20+1,1,1))&gt;0)*12),1),1),0)</f>
        <v/>
      </c>
    </row>
    <row r="21" ht="15" customHeight="1" s="71">
      <c r="A21" s="82" t="n">
        <v>2034</v>
      </c>
      <c r="B21" s="83">
        <f>SUMIFS('Journal de paie'!$I:$I,'Journal de paie'!$A:$A,"&gt;="&amp;DATE($A21,1,1),'Journal de paie'!$A:$A,"&lt;"&amp;DATE($A21+1,1,1))</f>
        <v/>
      </c>
      <c r="C21" s="83">
        <f>SUMIFS('Journal de paie'!$Y:$Y,'Journal de paie'!$A:$A,"&gt;="&amp;DATE($A21,1,1),'Journal de paie'!$A:$A,"&lt;"&amp;DATE($A21+1,1,1))</f>
        <v/>
      </c>
      <c r="D21" s="83">
        <f>SUMIFS('Journal de paie'!$L:$L,'Journal de paie'!$A:$A,"&gt;="&amp;DATE($A21,1,1),'Journal de paie'!$A:$A,"&lt;"&amp;DATE($A21+1,1,1))+SUMIFS('Journal de paie'!$M:$M,'Journal de paie'!$A:$A,"&gt;="&amp;DATE($A21,1,1),'Journal de paie'!$A:$A,"&lt;"&amp;DATE($A21+1,1,1))+SUMIFS('Journal de paie'!$N:$N,'Journal de paie'!$A:$A,"&gt;="&amp;DATE($A21,1,1),'Journal de paie'!$A:$A,"&lt;"&amp;DATE($A21+1,1,1))+SUMIFS('Journal de paie'!$O:$O,'Journal de paie'!$A:$A,"&gt;="&amp;DATE($A21,1,1),'Journal de paie'!$A:$A,"&lt;"&amp;DATE($A21+1,1,1))</f>
        <v/>
      </c>
      <c r="E21" s="83">
        <f>SUMIFS('Journal de paie'!$W:$W,'Journal de paie'!$A:$A,"&gt;="&amp;DATE($A21,1,1),'Journal de paie'!$A:$A,"&lt;"&amp;DATE($A21+1,1,1))-SUMIFS('Journal de paie'!$L:$L,'Journal de paie'!$A:$A,"&gt;="&amp;DATE($A21,1,1),'Journal de paie'!$A:$A,"&lt;"&amp;DATE($A21+1,1,1))+SUMIFS('Journal de paie'!$Q:$Q,'Journal de paie'!$A:$A,"&gt;="&amp;DATE($A21,1,1),'Journal de paie'!$A:$A,"&lt;"&amp;DATE($A21+1,1,1))+SUMIFS('Journal de paie'!$R:$R,'Journal de paie'!$A:$A,"&gt;="&amp;DATE($A21,1,1),'Journal de paie'!$A:$A,"&lt;"&amp;DATE($A21+1,1,1))</f>
        <v/>
      </c>
      <c r="F21" s="83">
        <f>SUMIFS('Journal de paie'!$Z:$Z,'Journal de paie'!$A:$A,"&gt;="&amp;DATE($A21,1,1),'Journal de paie'!$A:$A,"&lt;"&amp;DATE($A21+1,1,1))</f>
        <v/>
      </c>
      <c r="G21" s="84">
        <f>IFERROR(ROUND(COUNTIFS('Journal de paie'!$A:$A,"&gt;="&amp;DATE($A21,1,1),'Journal de paie'!$A:$A,"&lt;"&amp;DATE($A21+1,1,1))/MAX(SUMPRODUCT((COUNTIFS('Journal de paie'!$A:$A,"&gt;="&amp;DATE($A21,1,1),'Journal de paie'!$A:$A,"&lt;"&amp;DATE($A21+1,1,1))&gt;0)*12),1),1),0)</f>
        <v/>
      </c>
    </row>
    <row r="22" ht="15" customHeight="1" s="71">
      <c r="A22" s="82" t="n">
        <v>2035</v>
      </c>
      <c r="B22" s="83">
        <f>SUMIFS('Journal de paie'!$I:$I,'Journal de paie'!$A:$A,"&gt;="&amp;DATE($A22,1,1),'Journal de paie'!$A:$A,"&lt;"&amp;DATE($A22+1,1,1))</f>
        <v/>
      </c>
      <c r="C22" s="83">
        <f>SUMIFS('Journal de paie'!$Y:$Y,'Journal de paie'!$A:$A,"&gt;="&amp;DATE($A22,1,1),'Journal de paie'!$A:$A,"&lt;"&amp;DATE($A22+1,1,1))</f>
        <v/>
      </c>
      <c r="D22" s="83">
        <f>SUMIFS('Journal de paie'!$L:$L,'Journal de paie'!$A:$A,"&gt;="&amp;DATE($A22,1,1),'Journal de paie'!$A:$A,"&lt;"&amp;DATE($A22+1,1,1))+SUMIFS('Journal de paie'!$M:$M,'Journal de paie'!$A:$A,"&gt;="&amp;DATE($A22,1,1),'Journal de paie'!$A:$A,"&lt;"&amp;DATE($A22+1,1,1))+SUMIFS('Journal de paie'!$N:$N,'Journal de paie'!$A:$A,"&gt;="&amp;DATE($A22,1,1),'Journal de paie'!$A:$A,"&lt;"&amp;DATE($A22+1,1,1))+SUMIFS('Journal de paie'!$O:$O,'Journal de paie'!$A:$A,"&gt;="&amp;DATE($A22,1,1),'Journal de paie'!$A:$A,"&lt;"&amp;DATE($A22+1,1,1))</f>
        <v/>
      </c>
      <c r="E22" s="83">
        <f>SUMIFS('Journal de paie'!$W:$W,'Journal de paie'!$A:$A,"&gt;="&amp;DATE($A22,1,1),'Journal de paie'!$A:$A,"&lt;"&amp;DATE($A22+1,1,1))-SUMIFS('Journal de paie'!$L:$L,'Journal de paie'!$A:$A,"&gt;="&amp;DATE($A22,1,1),'Journal de paie'!$A:$A,"&lt;"&amp;DATE($A22+1,1,1))+SUMIFS('Journal de paie'!$Q:$Q,'Journal de paie'!$A:$A,"&gt;="&amp;DATE($A22,1,1),'Journal de paie'!$A:$A,"&lt;"&amp;DATE($A22+1,1,1))+SUMIFS('Journal de paie'!$R:$R,'Journal de paie'!$A:$A,"&gt;="&amp;DATE($A22,1,1),'Journal de paie'!$A:$A,"&lt;"&amp;DATE($A22+1,1,1))</f>
        <v/>
      </c>
      <c r="F22" s="83">
        <f>SUMIFS('Journal de paie'!$Z:$Z,'Journal de paie'!$A:$A,"&gt;="&amp;DATE($A22,1,1),'Journal de paie'!$A:$A,"&lt;"&amp;DATE($A22+1,1,1))</f>
        <v/>
      </c>
      <c r="G22" s="84">
        <f>IFERROR(ROUND(COUNTIFS('Journal de paie'!$A:$A,"&gt;="&amp;DATE($A22,1,1),'Journal de paie'!$A:$A,"&lt;"&amp;DATE($A22+1,1,1))/MAX(SUMPRODUCT((COUNTIFS('Journal de paie'!$A:$A,"&gt;="&amp;DATE($A22,1,1),'Journal de paie'!$A:$A,"&lt;"&amp;DATE($A22+1,1,1))&gt;0)*12),1),1),0)</f>
        <v/>
      </c>
    </row>
    <row r="23" ht="15" customHeight="1" s="71">
      <c r="A23" s="82" t="n">
        <v>2036</v>
      </c>
      <c r="B23" s="83">
        <f>SUMIFS('Journal de paie'!$I:$I,'Journal de paie'!$A:$A,"&gt;="&amp;DATE($A23,1,1),'Journal de paie'!$A:$A,"&lt;"&amp;DATE($A23+1,1,1))</f>
        <v/>
      </c>
      <c r="C23" s="83">
        <f>SUMIFS('Journal de paie'!$Y:$Y,'Journal de paie'!$A:$A,"&gt;="&amp;DATE($A23,1,1),'Journal de paie'!$A:$A,"&lt;"&amp;DATE($A23+1,1,1))</f>
        <v/>
      </c>
      <c r="D23" s="83">
        <f>SUMIFS('Journal de paie'!$L:$L,'Journal de paie'!$A:$A,"&gt;="&amp;DATE($A23,1,1),'Journal de paie'!$A:$A,"&lt;"&amp;DATE($A23+1,1,1))+SUMIFS('Journal de paie'!$M:$M,'Journal de paie'!$A:$A,"&gt;="&amp;DATE($A23,1,1),'Journal de paie'!$A:$A,"&lt;"&amp;DATE($A23+1,1,1))+SUMIFS('Journal de paie'!$N:$N,'Journal de paie'!$A:$A,"&gt;="&amp;DATE($A23,1,1),'Journal de paie'!$A:$A,"&lt;"&amp;DATE($A23+1,1,1))+SUMIFS('Journal de paie'!$O:$O,'Journal de paie'!$A:$A,"&gt;="&amp;DATE($A23,1,1),'Journal de paie'!$A:$A,"&lt;"&amp;DATE($A23+1,1,1))</f>
        <v/>
      </c>
      <c r="E23" s="83">
        <f>SUMIFS('Journal de paie'!$W:$W,'Journal de paie'!$A:$A,"&gt;="&amp;DATE($A23,1,1),'Journal de paie'!$A:$A,"&lt;"&amp;DATE($A23+1,1,1))-SUMIFS('Journal de paie'!$L:$L,'Journal de paie'!$A:$A,"&gt;="&amp;DATE($A23,1,1),'Journal de paie'!$A:$A,"&lt;"&amp;DATE($A23+1,1,1))+SUMIFS('Journal de paie'!$Q:$Q,'Journal de paie'!$A:$A,"&gt;="&amp;DATE($A23,1,1),'Journal de paie'!$A:$A,"&lt;"&amp;DATE($A23+1,1,1))+SUMIFS('Journal de paie'!$R:$R,'Journal de paie'!$A:$A,"&gt;="&amp;DATE($A23,1,1),'Journal de paie'!$A:$A,"&lt;"&amp;DATE($A23+1,1,1))</f>
        <v/>
      </c>
      <c r="F23" s="83">
        <f>SUMIFS('Journal de paie'!$Z:$Z,'Journal de paie'!$A:$A,"&gt;="&amp;DATE($A23,1,1),'Journal de paie'!$A:$A,"&lt;"&amp;DATE($A23+1,1,1))</f>
        <v/>
      </c>
      <c r="G23" s="84">
        <f>IFERROR(ROUND(COUNTIFS('Journal de paie'!$A:$A,"&gt;="&amp;DATE($A23,1,1),'Journal de paie'!$A:$A,"&lt;"&amp;DATE($A23+1,1,1))/MAX(SUMPRODUCT((COUNTIFS('Journal de paie'!$A:$A,"&gt;="&amp;DATE($A23,1,1),'Journal de paie'!$A:$A,"&lt;"&amp;DATE($A23+1,1,1))&gt;0)*12),1),1),0)</f>
        <v/>
      </c>
    </row>
    <row r="24" ht="15" customHeight="1" s="71">
      <c r="A24" s="82" t="n">
        <v>2037</v>
      </c>
      <c r="B24" s="83">
        <f>SUMIFS('Journal de paie'!$I:$I,'Journal de paie'!$A:$A,"&gt;="&amp;DATE($A24,1,1),'Journal de paie'!$A:$A,"&lt;"&amp;DATE($A24+1,1,1))</f>
        <v/>
      </c>
      <c r="C24" s="83">
        <f>SUMIFS('Journal de paie'!$Y:$Y,'Journal de paie'!$A:$A,"&gt;="&amp;DATE($A24,1,1),'Journal de paie'!$A:$A,"&lt;"&amp;DATE($A24+1,1,1))</f>
        <v/>
      </c>
      <c r="D24" s="83">
        <f>SUMIFS('Journal de paie'!$L:$L,'Journal de paie'!$A:$A,"&gt;="&amp;DATE($A24,1,1),'Journal de paie'!$A:$A,"&lt;"&amp;DATE($A24+1,1,1))+SUMIFS('Journal de paie'!$M:$M,'Journal de paie'!$A:$A,"&gt;="&amp;DATE($A24,1,1),'Journal de paie'!$A:$A,"&lt;"&amp;DATE($A24+1,1,1))+SUMIFS('Journal de paie'!$N:$N,'Journal de paie'!$A:$A,"&gt;="&amp;DATE($A24,1,1),'Journal de paie'!$A:$A,"&lt;"&amp;DATE($A24+1,1,1))+SUMIFS('Journal de paie'!$O:$O,'Journal de paie'!$A:$A,"&gt;="&amp;DATE($A24,1,1),'Journal de paie'!$A:$A,"&lt;"&amp;DATE($A24+1,1,1))</f>
        <v/>
      </c>
      <c r="E24" s="83">
        <f>SUMIFS('Journal de paie'!$W:$W,'Journal de paie'!$A:$A,"&gt;="&amp;DATE($A24,1,1),'Journal de paie'!$A:$A,"&lt;"&amp;DATE($A24+1,1,1))-SUMIFS('Journal de paie'!$L:$L,'Journal de paie'!$A:$A,"&gt;="&amp;DATE($A24,1,1),'Journal de paie'!$A:$A,"&lt;"&amp;DATE($A24+1,1,1))+SUMIFS('Journal de paie'!$Q:$Q,'Journal de paie'!$A:$A,"&gt;="&amp;DATE($A24,1,1),'Journal de paie'!$A:$A,"&lt;"&amp;DATE($A24+1,1,1))+SUMIFS('Journal de paie'!$R:$R,'Journal de paie'!$A:$A,"&gt;="&amp;DATE($A24,1,1),'Journal de paie'!$A:$A,"&lt;"&amp;DATE($A24+1,1,1))</f>
        <v/>
      </c>
      <c r="F24" s="83">
        <f>SUMIFS('Journal de paie'!$Z:$Z,'Journal de paie'!$A:$A,"&gt;="&amp;DATE($A24,1,1),'Journal de paie'!$A:$A,"&lt;"&amp;DATE($A24+1,1,1))</f>
        <v/>
      </c>
      <c r="G24" s="84">
        <f>IFERROR(ROUND(COUNTIFS('Journal de paie'!$A:$A,"&gt;="&amp;DATE($A24,1,1),'Journal de paie'!$A:$A,"&lt;"&amp;DATE($A24+1,1,1))/MAX(SUMPRODUCT((COUNTIFS('Journal de paie'!$A:$A,"&gt;="&amp;DATE($A24,1,1),'Journal de paie'!$A:$A,"&lt;"&amp;DATE($A24+1,1,1))&gt;0)*12),1),1),0)</f>
        <v/>
      </c>
    </row>
    <row r="25" ht="15" customHeight="1" s="71">
      <c r="A25" s="82" t="n">
        <v>2038</v>
      </c>
      <c r="B25" s="83">
        <f>SUMIFS('Journal de paie'!$I:$I,'Journal de paie'!$A:$A,"&gt;="&amp;DATE($A25,1,1),'Journal de paie'!$A:$A,"&lt;"&amp;DATE($A25+1,1,1))</f>
        <v/>
      </c>
      <c r="C25" s="83">
        <f>SUMIFS('Journal de paie'!$Y:$Y,'Journal de paie'!$A:$A,"&gt;="&amp;DATE($A25,1,1),'Journal de paie'!$A:$A,"&lt;"&amp;DATE($A25+1,1,1))</f>
        <v/>
      </c>
      <c r="D25" s="83">
        <f>SUMIFS('Journal de paie'!$L:$L,'Journal de paie'!$A:$A,"&gt;="&amp;DATE($A25,1,1),'Journal de paie'!$A:$A,"&lt;"&amp;DATE($A25+1,1,1))+SUMIFS('Journal de paie'!$M:$M,'Journal de paie'!$A:$A,"&gt;="&amp;DATE($A25,1,1),'Journal de paie'!$A:$A,"&lt;"&amp;DATE($A25+1,1,1))+SUMIFS('Journal de paie'!$N:$N,'Journal de paie'!$A:$A,"&gt;="&amp;DATE($A25,1,1),'Journal de paie'!$A:$A,"&lt;"&amp;DATE($A25+1,1,1))+SUMIFS('Journal de paie'!$O:$O,'Journal de paie'!$A:$A,"&gt;="&amp;DATE($A25,1,1),'Journal de paie'!$A:$A,"&lt;"&amp;DATE($A25+1,1,1))</f>
        <v/>
      </c>
      <c r="E25" s="83">
        <f>SUMIFS('Journal de paie'!$W:$W,'Journal de paie'!$A:$A,"&gt;="&amp;DATE($A25,1,1),'Journal de paie'!$A:$A,"&lt;"&amp;DATE($A25+1,1,1))-SUMIFS('Journal de paie'!$L:$L,'Journal de paie'!$A:$A,"&gt;="&amp;DATE($A25,1,1),'Journal de paie'!$A:$A,"&lt;"&amp;DATE($A25+1,1,1))+SUMIFS('Journal de paie'!$Q:$Q,'Journal de paie'!$A:$A,"&gt;="&amp;DATE($A25,1,1),'Journal de paie'!$A:$A,"&lt;"&amp;DATE($A25+1,1,1))+SUMIFS('Journal de paie'!$R:$R,'Journal de paie'!$A:$A,"&gt;="&amp;DATE($A25,1,1),'Journal de paie'!$A:$A,"&lt;"&amp;DATE($A25+1,1,1))</f>
        <v/>
      </c>
      <c r="F25" s="83">
        <f>SUMIFS('Journal de paie'!$Z:$Z,'Journal de paie'!$A:$A,"&gt;="&amp;DATE($A25,1,1),'Journal de paie'!$A:$A,"&lt;"&amp;DATE($A25+1,1,1))</f>
        <v/>
      </c>
      <c r="G25" s="84">
        <f>IFERROR(ROUND(COUNTIFS('Journal de paie'!$A:$A,"&gt;="&amp;DATE($A25,1,1),'Journal de paie'!$A:$A,"&lt;"&amp;DATE($A25+1,1,1))/MAX(SUMPRODUCT((COUNTIFS('Journal de paie'!$A:$A,"&gt;="&amp;DATE($A25,1,1),'Journal de paie'!$A:$A,"&lt;"&amp;DATE($A25+1,1,1))&gt;0)*12),1),1),0)</f>
        <v/>
      </c>
    </row>
    <row r="26" ht="15" customHeight="1" s="71">
      <c r="A26" s="82" t="n">
        <v>2039</v>
      </c>
      <c r="B26" s="83">
        <f>SUMIFS('Journal de paie'!$I:$I,'Journal de paie'!$A:$A,"&gt;="&amp;DATE($A26,1,1),'Journal de paie'!$A:$A,"&lt;"&amp;DATE($A26+1,1,1))</f>
        <v/>
      </c>
      <c r="C26" s="83">
        <f>SUMIFS('Journal de paie'!$Y:$Y,'Journal de paie'!$A:$A,"&gt;="&amp;DATE($A26,1,1),'Journal de paie'!$A:$A,"&lt;"&amp;DATE($A26+1,1,1))</f>
        <v/>
      </c>
      <c r="D26" s="83">
        <f>SUMIFS('Journal de paie'!$L:$L,'Journal de paie'!$A:$A,"&gt;="&amp;DATE($A26,1,1),'Journal de paie'!$A:$A,"&lt;"&amp;DATE($A26+1,1,1))+SUMIFS('Journal de paie'!$M:$M,'Journal de paie'!$A:$A,"&gt;="&amp;DATE($A26,1,1),'Journal de paie'!$A:$A,"&lt;"&amp;DATE($A26+1,1,1))+SUMIFS('Journal de paie'!$N:$N,'Journal de paie'!$A:$A,"&gt;="&amp;DATE($A26,1,1),'Journal de paie'!$A:$A,"&lt;"&amp;DATE($A26+1,1,1))+SUMIFS('Journal de paie'!$O:$O,'Journal de paie'!$A:$A,"&gt;="&amp;DATE($A26,1,1),'Journal de paie'!$A:$A,"&lt;"&amp;DATE($A26+1,1,1))</f>
        <v/>
      </c>
      <c r="E26" s="83">
        <f>SUMIFS('Journal de paie'!$W:$W,'Journal de paie'!$A:$A,"&gt;="&amp;DATE($A26,1,1),'Journal de paie'!$A:$A,"&lt;"&amp;DATE($A26+1,1,1))-SUMIFS('Journal de paie'!$L:$L,'Journal de paie'!$A:$A,"&gt;="&amp;DATE($A26,1,1),'Journal de paie'!$A:$A,"&lt;"&amp;DATE($A26+1,1,1))+SUMIFS('Journal de paie'!$Q:$Q,'Journal de paie'!$A:$A,"&gt;="&amp;DATE($A26,1,1),'Journal de paie'!$A:$A,"&lt;"&amp;DATE($A26+1,1,1))+SUMIFS('Journal de paie'!$R:$R,'Journal de paie'!$A:$A,"&gt;="&amp;DATE($A26,1,1),'Journal de paie'!$A:$A,"&lt;"&amp;DATE($A26+1,1,1))</f>
        <v/>
      </c>
      <c r="F26" s="83">
        <f>SUMIFS('Journal de paie'!$Z:$Z,'Journal de paie'!$A:$A,"&gt;="&amp;DATE($A26,1,1),'Journal de paie'!$A:$A,"&lt;"&amp;DATE($A26+1,1,1))</f>
        <v/>
      </c>
      <c r="G26" s="84">
        <f>IFERROR(ROUND(COUNTIFS('Journal de paie'!$A:$A,"&gt;="&amp;DATE($A26,1,1),'Journal de paie'!$A:$A,"&lt;"&amp;DATE($A26+1,1,1))/MAX(SUMPRODUCT((COUNTIFS('Journal de paie'!$A:$A,"&gt;="&amp;DATE($A26,1,1),'Journal de paie'!$A:$A,"&lt;"&amp;DATE($A26+1,1,1))&gt;0)*12),1),1),0)</f>
        <v/>
      </c>
    </row>
    <row r="27" ht="15" customHeight="1" s="71">
      <c r="A27" s="82" t="n">
        <v>2040</v>
      </c>
      <c r="B27" s="83">
        <f>SUMIFS('Journal de paie'!$I:$I,'Journal de paie'!$A:$A,"&gt;="&amp;DATE($A27,1,1),'Journal de paie'!$A:$A,"&lt;"&amp;DATE($A27+1,1,1))</f>
        <v/>
      </c>
      <c r="C27" s="83">
        <f>SUMIFS('Journal de paie'!$Y:$Y,'Journal de paie'!$A:$A,"&gt;="&amp;DATE($A27,1,1),'Journal de paie'!$A:$A,"&lt;"&amp;DATE($A27+1,1,1))</f>
        <v/>
      </c>
      <c r="D27" s="83">
        <f>SUMIFS('Journal de paie'!$L:$L,'Journal de paie'!$A:$A,"&gt;="&amp;DATE($A27,1,1),'Journal de paie'!$A:$A,"&lt;"&amp;DATE($A27+1,1,1))+SUMIFS('Journal de paie'!$M:$M,'Journal de paie'!$A:$A,"&gt;="&amp;DATE($A27,1,1),'Journal de paie'!$A:$A,"&lt;"&amp;DATE($A27+1,1,1))+SUMIFS('Journal de paie'!$N:$N,'Journal de paie'!$A:$A,"&gt;="&amp;DATE($A27,1,1),'Journal de paie'!$A:$A,"&lt;"&amp;DATE($A27+1,1,1))+SUMIFS('Journal de paie'!$O:$O,'Journal de paie'!$A:$A,"&gt;="&amp;DATE($A27,1,1),'Journal de paie'!$A:$A,"&lt;"&amp;DATE($A27+1,1,1))</f>
        <v/>
      </c>
      <c r="E27" s="83">
        <f>SUMIFS('Journal de paie'!$W:$W,'Journal de paie'!$A:$A,"&gt;="&amp;DATE($A27,1,1),'Journal de paie'!$A:$A,"&lt;"&amp;DATE($A27+1,1,1))-SUMIFS('Journal de paie'!$L:$L,'Journal de paie'!$A:$A,"&gt;="&amp;DATE($A27,1,1),'Journal de paie'!$A:$A,"&lt;"&amp;DATE($A27+1,1,1))+SUMIFS('Journal de paie'!$Q:$Q,'Journal de paie'!$A:$A,"&gt;="&amp;DATE($A27,1,1),'Journal de paie'!$A:$A,"&lt;"&amp;DATE($A27+1,1,1))+SUMIFS('Journal de paie'!$R:$R,'Journal de paie'!$A:$A,"&gt;="&amp;DATE($A27,1,1),'Journal de paie'!$A:$A,"&lt;"&amp;DATE($A27+1,1,1))</f>
        <v/>
      </c>
      <c r="F27" s="83">
        <f>SUMIFS('Journal de paie'!$Z:$Z,'Journal de paie'!$A:$A,"&gt;="&amp;DATE($A27,1,1),'Journal de paie'!$A:$A,"&lt;"&amp;DATE($A27+1,1,1))</f>
        <v/>
      </c>
      <c r="G27" s="84">
        <f>IFERROR(ROUND(COUNTIFS('Journal de paie'!$A:$A,"&gt;="&amp;DATE($A27,1,1),'Journal de paie'!$A:$A,"&lt;"&amp;DATE($A27+1,1,1))/MAX(SUMPRODUCT((COUNTIFS('Journal de paie'!$A:$A,"&gt;="&amp;DATE($A27,1,1),'Journal de paie'!$A:$A,"&lt;"&amp;DATE($A27+1,1,1))&gt;0)*12),1),1),0)</f>
        <v/>
      </c>
    </row>
    <row r="28" ht="15" customHeight="1" s="71">
      <c r="A28" s="82" t="n">
        <v>2041</v>
      </c>
      <c r="B28" s="83">
        <f>SUMIFS('Journal de paie'!$I:$I,'Journal de paie'!$A:$A,"&gt;="&amp;DATE($A28,1,1),'Journal de paie'!$A:$A,"&lt;"&amp;DATE($A28+1,1,1))</f>
        <v/>
      </c>
      <c r="C28" s="83">
        <f>SUMIFS('Journal de paie'!$Y:$Y,'Journal de paie'!$A:$A,"&gt;="&amp;DATE($A28,1,1),'Journal de paie'!$A:$A,"&lt;"&amp;DATE($A28+1,1,1))</f>
        <v/>
      </c>
      <c r="D28" s="83">
        <f>SUMIFS('Journal de paie'!$L:$L,'Journal de paie'!$A:$A,"&gt;="&amp;DATE($A28,1,1),'Journal de paie'!$A:$A,"&lt;"&amp;DATE($A28+1,1,1))+SUMIFS('Journal de paie'!$M:$M,'Journal de paie'!$A:$A,"&gt;="&amp;DATE($A28,1,1),'Journal de paie'!$A:$A,"&lt;"&amp;DATE($A28+1,1,1))+SUMIFS('Journal de paie'!$N:$N,'Journal de paie'!$A:$A,"&gt;="&amp;DATE($A28,1,1),'Journal de paie'!$A:$A,"&lt;"&amp;DATE($A28+1,1,1))+SUMIFS('Journal de paie'!$O:$O,'Journal de paie'!$A:$A,"&gt;="&amp;DATE($A28,1,1),'Journal de paie'!$A:$A,"&lt;"&amp;DATE($A28+1,1,1))</f>
        <v/>
      </c>
      <c r="E28" s="83">
        <f>SUMIFS('Journal de paie'!$W:$W,'Journal de paie'!$A:$A,"&gt;="&amp;DATE($A28,1,1),'Journal de paie'!$A:$A,"&lt;"&amp;DATE($A28+1,1,1))-SUMIFS('Journal de paie'!$L:$L,'Journal de paie'!$A:$A,"&gt;="&amp;DATE($A28,1,1),'Journal de paie'!$A:$A,"&lt;"&amp;DATE($A28+1,1,1))+SUMIFS('Journal de paie'!$Q:$Q,'Journal de paie'!$A:$A,"&gt;="&amp;DATE($A28,1,1),'Journal de paie'!$A:$A,"&lt;"&amp;DATE($A28+1,1,1))+SUMIFS('Journal de paie'!$R:$R,'Journal de paie'!$A:$A,"&gt;="&amp;DATE($A28,1,1),'Journal de paie'!$A:$A,"&lt;"&amp;DATE($A28+1,1,1))</f>
        <v/>
      </c>
      <c r="F28" s="83">
        <f>SUMIFS('Journal de paie'!$Z:$Z,'Journal de paie'!$A:$A,"&gt;="&amp;DATE($A28,1,1),'Journal de paie'!$A:$A,"&lt;"&amp;DATE($A28+1,1,1))</f>
        <v/>
      </c>
      <c r="G28" s="84">
        <f>IFERROR(ROUND(COUNTIFS('Journal de paie'!$A:$A,"&gt;="&amp;DATE($A28,1,1),'Journal de paie'!$A:$A,"&lt;"&amp;DATE($A28+1,1,1))/MAX(SUMPRODUCT((COUNTIFS('Journal de paie'!$A:$A,"&gt;="&amp;DATE($A28,1,1),'Journal de paie'!$A:$A,"&lt;"&amp;DATE($A28+1,1,1))&gt;0)*12),1),1),0)</f>
        <v/>
      </c>
    </row>
    <row r="29" ht="15" customHeight="1" s="71">
      <c r="A29" s="82" t="n">
        <v>2042</v>
      </c>
      <c r="B29" s="83">
        <f>SUMIFS('Journal de paie'!$I:$I,'Journal de paie'!$A:$A,"&gt;="&amp;DATE($A29,1,1),'Journal de paie'!$A:$A,"&lt;"&amp;DATE($A29+1,1,1))</f>
        <v/>
      </c>
      <c r="C29" s="83">
        <f>SUMIFS('Journal de paie'!$Y:$Y,'Journal de paie'!$A:$A,"&gt;="&amp;DATE($A29,1,1),'Journal de paie'!$A:$A,"&lt;"&amp;DATE($A29+1,1,1))</f>
        <v/>
      </c>
      <c r="D29" s="83">
        <f>SUMIFS('Journal de paie'!$L:$L,'Journal de paie'!$A:$A,"&gt;="&amp;DATE($A29,1,1),'Journal de paie'!$A:$A,"&lt;"&amp;DATE($A29+1,1,1))+SUMIFS('Journal de paie'!$M:$M,'Journal de paie'!$A:$A,"&gt;="&amp;DATE($A29,1,1),'Journal de paie'!$A:$A,"&lt;"&amp;DATE($A29+1,1,1))+SUMIFS('Journal de paie'!$N:$N,'Journal de paie'!$A:$A,"&gt;="&amp;DATE($A29,1,1),'Journal de paie'!$A:$A,"&lt;"&amp;DATE($A29+1,1,1))+SUMIFS('Journal de paie'!$O:$O,'Journal de paie'!$A:$A,"&gt;="&amp;DATE($A29,1,1),'Journal de paie'!$A:$A,"&lt;"&amp;DATE($A29+1,1,1))</f>
        <v/>
      </c>
      <c r="E29" s="83">
        <f>SUMIFS('Journal de paie'!$W:$W,'Journal de paie'!$A:$A,"&gt;="&amp;DATE($A29,1,1),'Journal de paie'!$A:$A,"&lt;"&amp;DATE($A29+1,1,1))-SUMIFS('Journal de paie'!$L:$L,'Journal de paie'!$A:$A,"&gt;="&amp;DATE($A29,1,1),'Journal de paie'!$A:$A,"&lt;"&amp;DATE($A29+1,1,1))+SUMIFS('Journal de paie'!$Q:$Q,'Journal de paie'!$A:$A,"&gt;="&amp;DATE($A29,1,1),'Journal de paie'!$A:$A,"&lt;"&amp;DATE($A29+1,1,1))+SUMIFS('Journal de paie'!$R:$R,'Journal de paie'!$A:$A,"&gt;="&amp;DATE($A29,1,1),'Journal de paie'!$A:$A,"&lt;"&amp;DATE($A29+1,1,1))</f>
        <v/>
      </c>
      <c r="F29" s="83">
        <f>SUMIFS('Journal de paie'!$Z:$Z,'Journal de paie'!$A:$A,"&gt;="&amp;DATE($A29,1,1),'Journal de paie'!$A:$A,"&lt;"&amp;DATE($A29+1,1,1))</f>
        <v/>
      </c>
      <c r="G29" s="84">
        <f>IFERROR(ROUND(COUNTIFS('Journal de paie'!$A:$A,"&gt;="&amp;DATE($A29,1,1),'Journal de paie'!$A:$A,"&lt;"&amp;DATE($A29+1,1,1))/MAX(SUMPRODUCT((COUNTIFS('Journal de paie'!$A:$A,"&gt;="&amp;DATE($A29,1,1),'Journal de paie'!$A:$A,"&lt;"&amp;DATE($A29+1,1,1))&gt;0)*12),1),1),0)</f>
        <v/>
      </c>
    </row>
    <row r="30" ht="15" customHeight="1" s="71">
      <c r="A30" s="82" t="n">
        <v>2043</v>
      </c>
      <c r="B30" s="83">
        <f>SUMIFS('Journal de paie'!$I:$I,'Journal de paie'!$A:$A,"&gt;="&amp;DATE($A30,1,1),'Journal de paie'!$A:$A,"&lt;"&amp;DATE($A30+1,1,1))</f>
        <v/>
      </c>
      <c r="C30" s="83">
        <f>SUMIFS('Journal de paie'!$Y:$Y,'Journal de paie'!$A:$A,"&gt;="&amp;DATE($A30,1,1),'Journal de paie'!$A:$A,"&lt;"&amp;DATE($A30+1,1,1))</f>
        <v/>
      </c>
      <c r="D30" s="83">
        <f>SUMIFS('Journal de paie'!$L:$L,'Journal de paie'!$A:$A,"&gt;="&amp;DATE($A30,1,1),'Journal de paie'!$A:$A,"&lt;"&amp;DATE($A30+1,1,1))+SUMIFS('Journal de paie'!$M:$M,'Journal de paie'!$A:$A,"&gt;="&amp;DATE($A30,1,1),'Journal de paie'!$A:$A,"&lt;"&amp;DATE($A30+1,1,1))+SUMIFS('Journal de paie'!$N:$N,'Journal de paie'!$A:$A,"&gt;="&amp;DATE($A30,1,1),'Journal de paie'!$A:$A,"&lt;"&amp;DATE($A30+1,1,1))+SUMIFS('Journal de paie'!$O:$O,'Journal de paie'!$A:$A,"&gt;="&amp;DATE($A30,1,1),'Journal de paie'!$A:$A,"&lt;"&amp;DATE($A30+1,1,1))</f>
        <v/>
      </c>
      <c r="E30" s="83">
        <f>SUMIFS('Journal de paie'!$W:$W,'Journal de paie'!$A:$A,"&gt;="&amp;DATE($A30,1,1),'Journal de paie'!$A:$A,"&lt;"&amp;DATE($A30+1,1,1))-SUMIFS('Journal de paie'!$L:$L,'Journal de paie'!$A:$A,"&gt;="&amp;DATE($A30,1,1),'Journal de paie'!$A:$A,"&lt;"&amp;DATE($A30+1,1,1))+SUMIFS('Journal de paie'!$Q:$Q,'Journal de paie'!$A:$A,"&gt;="&amp;DATE($A30,1,1),'Journal de paie'!$A:$A,"&lt;"&amp;DATE($A30+1,1,1))+SUMIFS('Journal de paie'!$R:$R,'Journal de paie'!$A:$A,"&gt;="&amp;DATE($A30,1,1),'Journal de paie'!$A:$A,"&lt;"&amp;DATE($A30+1,1,1))</f>
        <v/>
      </c>
      <c r="F30" s="83">
        <f>SUMIFS('Journal de paie'!$Z:$Z,'Journal de paie'!$A:$A,"&gt;="&amp;DATE($A30,1,1),'Journal de paie'!$A:$A,"&lt;"&amp;DATE($A30+1,1,1))</f>
        <v/>
      </c>
      <c r="G30" s="84">
        <f>IFERROR(ROUND(COUNTIFS('Journal de paie'!$A:$A,"&gt;="&amp;DATE($A30,1,1),'Journal de paie'!$A:$A,"&lt;"&amp;DATE($A30+1,1,1))/MAX(SUMPRODUCT((COUNTIFS('Journal de paie'!$A:$A,"&gt;="&amp;DATE($A30,1,1),'Journal de paie'!$A:$A,"&lt;"&amp;DATE($A30+1,1,1))&gt;0)*12),1),1),0)</f>
        <v/>
      </c>
    </row>
    <row r="31" ht="15" customHeight="1" s="71">
      <c r="A31" s="82" t="n">
        <v>2044</v>
      </c>
      <c r="B31" s="83">
        <f>SUMIFS('Journal de paie'!$I:$I,'Journal de paie'!$A:$A,"&gt;="&amp;DATE($A31,1,1),'Journal de paie'!$A:$A,"&lt;"&amp;DATE($A31+1,1,1))</f>
        <v/>
      </c>
      <c r="C31" s="83">
        <f>SUMIFS('Journal de paie'!$Y:$Y,'Journal de paie'!$A:$A,"&gt;="&amp;DATE($A31,1,1),'Journal de paie'!$A:$A,"&lt;"&amp;DATE($A31+1,1,1))</f>
        <v/>
      </c>
      <c r="D31" s="83">
        <f>SUMIFS('Journal de paie'!$L:$L,'Journal de paie'!$A:$A,"&gt;="&amp;DATE($A31,1,1),'Journal de paie'!$A:$A,"&lt;"&amp;DATE($A31+1,1,1))+SUMIFS('Journal de paie'!$M:$M,'Journal de paie'!$A:$A,"&gt;="&amp;DATE($A31,1,1),'Journal de paie'!$A:$A,"&lt;"&amp;DATE($A31+1,1,1))+SUMIFS('Journal de paie'!$N:$N,'Journal de paie'!$A:$A,"&gt;="&amp;DATE($A31,1,1),'Journal de paie'!$A:$A,"&lt;"&amp;DATE($A31+1,1,1))+SUMIFS('Journal de paie'!$O:$O,'Journal de paie'!$A:$A,"&gt;="&amp;DATE($A31,1,1),'Journal de paie'!$A:$A,"&lt;"&amp;DATE($A31+1,1,1))</f>
        <v/>
      </c>
      <c r="E31" s="83">
        <f>SUMIFS('Journal de paie'!$W:$W,'Journal de paie'!$A:$A,"&gt;="&amp;DATE($A31,1,1),'Journal de paie'!$A:$A,"&lt;"&amp;DATE($A31+1,1,1))-SUMIFS('Journal de paie'!$L:$L,'Journal de paie'!$A:$A,"&gt;="&amp;DATE($A31,1,1),'Journal de paie'!$A:$A,"&lt;"&amp;DATE($A31+1,1,1))+SUMIFS('Journal de paie'!$Q:$Q,'Journal de paie'!$A:$A,"&gt;="&amp;DATE($A31,1,1),'Journal de paie'!$A:$A,"&lt;"&amp;DATE($A31+1,1,1))+SUMIFS('Journal de paie'!$R:$R,'Journal de paie'!$A:$A,"&gt;="&amp;DATE($A31,1,1),'Journal de paie'!$A:$A,"&lt;"&amp;DATE($A31+1,1,1))</f>
        <v/>
      </c>
      <c r="F31" s="83">
        <f>SUMIFS('Journal de paie'!$Z:$Z,'Journal de paie'!$A:$A,"&gt;="&amp;DATE($A31,1,1),'Journal de paie'!$A:$A,"&lt;"&amp;DATE($A31+1,1,1))</f>
        <v/>
      </c>
      <c r="G31" s="84">
        <f>IFERROR(ROUND(COUNTIFS('Journal de paie'!$A:$A,"&gt;="&amp;DATE($A31,1,1),'Journal de paie'!$A:$A,"&lt;"&amp;DATE($A31+1,1,1))/MAX(SUMPRODUCT((COUNTIFS('Journal de paie'!$A:$A,"&gt;="&amp;DATE($A31,1,1),'Journal de paie'!$A:$A,"&lt;"&amp;DATE($A31+1,1,1))&gt;0)*12),1),1),0)</f>
        <v/>
      </c>
    </row>
    <row r="32" ht="15" customHeight="1" s="71">
      <c r="A32" s="82" t="n">
        <v>2045</v>
      </c>
      <c r="B32" s="83">
        <f>SUMIFS('Journal de paie'!$I:$I,'Journal de paie'!$A:$A,"&gt;="&amp;DATE($A32,1,1),'Journal de paie'!$A:$A,"&lt;"&amp;DATE($A32+1,1,1))</f>
        <v/>
      </c>
      <c r="C32" s="83">
        <f>SUMIFS('Journal de paie'!$Y:$Y,'Journal de paie'!$A:$A,"&gt;="&amp;DATE($A32,1,1),'Journal de paie'!$A:$A,"&lt;"&amp;DATE($A32+1,1,1))</f>
        <v/>
      </c>
      <c r="D32" s="83">
        <f>SUMIFS('Journal de paie'!$L:$L,'Journal de paie'!$A:$A,"&gt;="&amp;DATE($A32,1,1),'Journal de paie'!$A:$A,"&lt;"&amp;DATE($A32+1,1,1))+SUMIFS('Journal de paie'!$M:$M,'Journal de paie'!$A:$A,"&gt;="&amp;DATE($A32,1,1),'Journal de paie'!$A:$A,"&lt;"&amp;DATE($A32+1,1,1))+SUMIFS('Journal de paie'!$N:$N,'Journal de paie'!$A:$A,"&gt;="&amp;DATE($A32,1,1),'Journal de paie'!$A:$A,"&lt;"&amp;DATE($A32+1,1,1))+SUMIFS('Journal de paie'!$O:$O,'Journal de paie'!$A:$A,"&gt;="&amp;DATE($A32,1,1),'Journal de paie'!$A:$A,"&lt;"&amp;DATE($A32+1,1,1))</f>
        <v/>
      </c>
      <c r="E32" s="83">
        <f>SUMIFS('Journal de paie'!$W:$W,'Journal de paie'!$A:$A,"&gt;="&amp;DATE($A32,1,1),'Journal de paie'!$A:$A,"&lt;"&amp;DATE($A32+1,1,1))-SUMIFS('Journal de paie'!$L:$L,'Journal de paie'!$A:$A,"&gt;="&amp;DATE($A32,1,1),'Journal de paie'!$A:$A,"&lt;"&amp;DATE($A32+1,1,1))+SUMIFS('Journal de paie'!$Q:$Q,'Journal de paie'!$A:$A,"&gt;="&amp;DATE($A32,1,1),'Journal de paie'!$A:$A,"&lt;"&amp;DATE($A32+1,1,1))+SUMIFS('Journal de paie'!$R:$R,'Journal de paie'!$A:$A,"&gt;="&amp;DATE($A32,1,1),'Journal de paie'!$A:$A,"&lt;"&amp;DATE($A32+1,1,1))</f>
        <v/>
      </c>
      <c r="F32" s="83">
        <f>SUMIFS('Journal de paie'!$Z:$Z,'Journal de paie'!$A:$A,"&gt;="&amp;DATE($A32,1,1),'Journal de paie'!$A:$A,"&lt;"&amp;DATE($A32+1,1,1))</f>
        <v/>
      </c>
      <c r="G32" s="84">
        <f>IFERROR(ROUND(COUNTIFS('Journal de paie'!$A:$A,"&gt;="&amp;DATE($A32,1,1),'Journal de paie'!$A:$A,"&lt;"&amp;DATE($A32+1,1,1))/MAX(SUMPRODUCT((COUNTIFS('Journal de paie'!$A:$A,"&gt;="&amp;DATE($A32,1,1),'Journal de paie'!$A:$A,"&lt;"&amp;DATE($A32+1,1,1))&gt;0)*12),1),1),0)</f>
        <v/>
      </c>
    </row>
    <row r="34" ht="15" customHeight="1" s="71">
      <c r="A34" s="80" t="inlineStr">
        <is>
          <t>GRAPHIQUES</t>
        </is>
      </c>
    </row>
  </sheetData>
  <mergeCells count="2">
    <mergeCell ref="A11:H11"/>
    <mergeCell ref="A1:H1"/>
  </mergeCell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filterMode="0">
    <outlinePr summaryBelow="1" summaryRight="1"/>
    <pageSetUpPr fitToPage="0"/>
  </sheetPr>
  <dimension ref="A1:I93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C28" activeCellId="0" sqref="C28"/>
    </sheetView>
  </sheetViews>
  <sheetFormatPr baseColWidth="8" defaultColWidth="8.71484375" defaultRowHeight="15" zeroHeight="0" outlineLevelRow="0"/>
  <cols>
    <col width="52" customWidth="1" style="70" min="1" max="1"/>
    <col width="44" customWidth="1" style="70" min="2" max="2"/>
    <col width="16" customWidth="1" style="70" min="3" max="3"/>
    <col width="14" customWidth="1" style="70" min="4" max="5"/>
    <col width="12" customWidth="1" style="70" min="6" max="9"/>
  </cols>
  <sheetData>
    <row r="1" ht="15" customHeight="1" s="71">
      <c r="A1" s="85" t="inlineStr">
        <is>
          <t>PARAMÈTRES — ECLOSION EDITION SARL — Moteur de paie V2 (paramètres versionnés)</t>
        </is>
      </c>
    </row>
    <row r="3" ht="15" customHeight="1" s="71">
      <c r="A3" s="86" t="inlineStr">
        <is>
          <t>Période de paie en cours (saisir le 1er jour du mois)</t>
        </is>
      </c>
      <c r="B3" s="87" t="n">
        <v>46204</v>
      </c>
      <c r="C3" s="88">
        <f>CHOOSE(MONTH(B3),"JANVIER","FÉVRIER","MARS","AVRIL","MAI","JUIN","JUILLET","AOÛT","SEPTEMBRE","OCTOBRE","NOVEMBRE","DÉCEMBRE")&amp;" "&amp;YEAR(B3)</f>
        <v/>
      </c>
    </row>
    <row r="4" ht="15" customHeight="1" s="71">
      <c r="A4" s="89" t="inlineStr">
        <is>
          <t>Date de paiement</t>
        </is>
      </c>
      <c r="B4" s="90" t="n">
        <v>46234</v>
      </c>
    </row>
    <row r="6" ht="15" customHeight="1" s="71">
      <c r="A6" s="80" t="inlineStr">
        <is>
          <t>HISTORIQUE DES TAUX LÉGAUX — versionnés. Pour tout changement de législation : AJOUTER une nouvelle ligne EN DESSOUS (même code, nouvelle date d'effet, nouvelle valeur). Ne jamais écraser l'ancienne.</t>
        </is>
      </c>
    </row>
    <row r="7" ht="15" customHeight="1" s="71">
      <c r="A7" s="81" t="inlineStr">
        <is>
          <t>Code</t>
        </is>
      </c>
      <c r="B7" s="81" t="inlineStr">
        <is>
          <t>Libellé</t>
        </is>
      </c>
      <c r="C7" s="81" t="inlineStr">
        <is>
          <t>Date d'effet</t>
        </is>
      </c>
      <c r="D7" s="81" t="inlineStr">
        <is>
          <t>Valeur</t>
        </is>
      </c>
    </row>
    <row r="8" ht="15" customHeight="1" s="71">
      <c r="A8" s="91" t="inlineStr">
        <is>
          <t>VID_SAL</t>
        </is>
      </c>
      <c r="B8" s="91" t="inlineStr">
        <is>
          <t>CNPS – PVID part salariale</t>
        </is>
      </c>
      <c r="C8" s="90" t="n">
        <v>43466</v>
      </c>
      <c r="D8" s="92" t="n">
        <v>0.042</v>
      </c>
    </row>
    <row r="9" ht="15" customHeight="1" s="71">
      <c r="A9" s="91" t="inlineStr">
        <is>
          <t>VID_PAT</t>
        </is>
      </c>
      <c r="B9" s="91" t="inlineStr">
        <is>
          <t>CNPS – PVID part patronale</t>
        </is>
      </c>
      <c r="C9" s="90" t="n">
        <v>43466</v>
      </c>
      <c r="D9" s="92" t="n">
        <v>0.042</v>
      </c>
    </row>
    <row r="10" ht="15" customHeight="1" s="71">
      <c r="A10" s="91" t="inlineStr">
        <is>
          <t>PF</t>
        </is>
      </c>
      <c r="B10" s="91" t="inlineStr">
        <is>
          <t>CNPS – Prestations familiales (patronale)</t>
        </is>
      </c>
      <c r="C10" s="90" t="n">
        <v>43466</v>
      </c>
      <c r="D10" s="92" t="n">
        <v>0.07000000000000001</v>
      </c>
    </row>
    <row r="11" ht="15" customHeight="1" s="71">
      <c r="A11" s="91" t="inlineStr">
        <is>
          <t>AT</t>
        </is>
      </c>
      <c r="B11" s="91" t="inlineStr">
        <is>
          <t>CNPS – Accidents du travail (patronale)</t>
        </is>
      </c>
      <c r="C11" s="90" t="n">
        <v>43466</v>
      </c>
      <c r="D11" s="92" t="n">
        <v>0.025</v>
      </c>
    </row>
    <row r="12" ht="15" customHeight="1" s="71">
      <c r="A12" s="91" t="inlineStr">
        <is>
          <t>PLAFOND</t>
        </is>
      </c>
      <c r="B12" s="91" t="inlineStr">
        <is>
          <t>Plafond mensuel assiette CNPS (FCFA)</t>
        </is>
      </c>
      <c r="C12" s="90" t="n">
        <v>43466</v>
      </c>
      <c r="D12" s="93" t="n">
        <v>750000</v>
      </c>
    </row>
    <row r="13" ht="15" customHeight="1" s="71">
      <c r="A13" s="91" t="inlineStr">
        <is>
          <t>ABAT_PCT</t>
        </is>
      </c>
      <c r="B13" s="91" t="inlineStr">
        <is>
          <t>Abattement frais professionnels IRPP</t>
        </is>
      </c>
      <c r="C13" s="90" t="n">
        <v>43466</v>
      </c>
      <c r="D13" s="92" t="n">
        <v>0.3</v>
      </c>
    </row>
    <row r="14" ht="15" customHeight="1" s="71">
      <c r="A14" s="91" t="inlineStr">
        <is>
          <t>ABAT_FIXE</t>
        </is>
      </c>
      <c r="B14" s="91" t="inlineStr">
        <is>
          <t>Abattement forfaitaire annuel IRPP (FCFA)</t>
        </is>
      </c>
      <c r="C14" s="90" t="n">
        <v>43466</v>
      </c>
      <c r="D14" s="93" t="n">
        <v>500000</v>
      </c>
    </row>
    <row r="15" ht="15" customHeight="1" s="71">
      <c r="A15" s="91" t="inlineStr">
        <is>
          <t>CAC</t>
        </is>
      </c>
      <c r="B15" s="91" t="inlineStr">
        <is>
          <t>Centimes Additionnels Communaux (% IRPP)</t>
        </is>
      </c>
      <c r="C15" s="90" t="n">
        <v>43466</v>
      </c>
      <c r="D15" s="92" t="n">
        <v>0.1</v>
      </c>
    </row>
    <row r="16" ht="15" customHeight="1" s="71">
      <c r="A16" s="91" t="inlineStr">
        <is>
          <t>CFC_SAL</t>
        </is>
      </c>
      <c r="B16" s="91" t="inlineStr">
        <is>
          <t>CFC – part salariale</t>
        </is>
      </c>
      <c r="C16" s="90" t="n">
        <v>43466</v>
      </c>
      <c r="D16" s="92" t="n">
        <v>0.01</v>
      </c>
    </row>
    <row r="17" ht="15" customHeight="1" s="71">
      <c r="A17" s="91" t="inlineStr">
        <is>
          <t>CFC_PAT</t>
        </is>
      </c>
      <c r="B17" s="91" t="inlineStr">
        <is>
          <t>CFC – part patronale</t>
        </is>
      </c>
      <c r="C17" s="90" t="n">
        <v>43466</v>
      </c>
      <c r="D17" s="92" t="n">
        <v>0.015</v>
      </c>
    </row>
    <row r="18" ht="15" customHeight="1" s="71">
      <c r="A18" s="91" t="inlineStr">
        <is>
          <t>FNE</t>
        </is>
      </c>
      <c r="B18" s="91" t="inlineStr">
        <is>
          <t>FNE – part patronale</t>
        </is>
      </c>
      <c r="C18" s="90" t="n">
        <v>43466</v>
      </c>
      <c r="D18" s="92" t="n">
        <v>0.01</v>
      </c>
    </row>
    <row r="19" ht="15" customHeight="1" s="71">
      <c r="A19" s="91" t="inlineStr">
        <is>
          <t>COEF</t>
        </is>
      </c>
      <c r="B19" s="91" t="inlineStr">
        <is>
          <t>Coefficient assiette CNPS ÷ assiette fiscale</t>
        </is>
      </c>
      <c r="C19" s="90" t="n">
        <v>43466</v>
      </c>
      <c r="D19" s="92" t="n">
        <v>0.8</v>
      </c>
    </row>
    <row r="20" ht="15" customHeight="1" s="71">
      <c r="A20" s="91" t="inlineStr">
        <is>
          <t>HEURES</t>
        </is>
      </c>
      <c r="B20" s="91" t="inlineStr">
        <is>
          <t>Durée mensuelle légale de travail (heures)</t>
        </is>
      </c>
      <c r="C20" s="90" t="n">
        <v>43466</v>
      </c>
      <c r="D20" s="94" t="n">
        <v>173.33</v>
      </c>
    </row>
    <row r="21" ht="15" customHeight="1" s="71">
      <c r="A21" s="91" t="inlineStr">
        <is>
          <t>ANC_DEF</t>
        </is>
      </c>
      <c r="B21" s="91" t="inlineStr">
        <is>
          <t>Taux prime d'ancienneté par défaut</t>
        </is>
      </c>
      <c r="C21" s="90" t="n">
        <v>43466</v>
      </c>
      <c r="D21" s="92" t="n">
        <v>0.05</v>
      </c>
    </row>
    <row r="22" ht="15" customHeight="1" s="71">
      <c r="A22" s="91" t="n"/>
      <c r="B22" s="91" t="n"/>
      <c r="C22" s="90" t="n"/>
      <c r="D22" s="91" t="n"/>
    </row>
    <row r="23" ht="15" customHeight="1" s="71">
      <c r="A23" s="91" t="n"/>
      <c r="B23" s="91" t="n"/>
      <c r="C23" s="90" t="n"/>
      <c r="D23" s="91" t="n"/>
    </row>
    <row r="24" ht="15" customHeight="1" s="71">
      <c r="A24" s="91" t="n"/>
      <c r="B24" s="91" t="n"/>
      <c r="C24" s="90" t="n"/>
      <c r="D24" s="91" t="n"/>
    </row>
    <row r="25" ht="15" customHeight="1" s="71">
      <c r="A25" s="91" t="n"/>
      <c r="B25" s="91" t="n"/>
      <c r="C25" s="90" t="n"/>
      <c r="D25" s="91" t="n"/>
    </row>
    <row r="26" ht="15" customHeight="1" s="71">
      <c r="A26" s="91" t="n"/>
      <c r="B26" s="91" t="n"/>
      <c r="C26" s="90" t="n"/>
      <c r="D26" s="91" t="n"/>
    </row>
    <row r="27" ht="15" customHeight="1" s="71">
      <c r="A27" s="91" t="n"/>
      <c r="B27" s="91" t="n"/>
      <c r="C27" s="90" t="n"/>
      <c r="D27" s="91" t="n"/>
    </row>
    <row r="28" ht="15" customHeight="1" s="71">
      <c r="A28" s="91" t="n"/>
      <c r="B28" s="91" t="n"/>
      <c r="C28" s="90" t="n"/>
      <c r="D28" s="91" t="n"/>
    </row>
    <row r="29" ht="15" customHeight="1" s="71">
      <c r="A29" s="91" t="n"/>
      <c r="B29" s="91" t="n"/>
      <c r="C29" s="90" t="n"/>
      <c r="D29" s="91" t="n"/>
    </row>
    <row r="30" ht="15" customHeight="1" s="71">
      <c r="A30" s="91" t="n"/>
      <c r="B30" s="91" t="n"/>
      <c r="C30" s="90" t="n"/>
      <c r="D30" s="91" t="n"/>
    </row>
    <row r="31" ht="15" customHeight="1" s="71">
      <c r="A31" s="91" t="n"/>
      <c r="B31" s="91" t="n"/>
      <c r="C31" s="90" t="n"/>
      <c r="D31" s="91" t="n"/>
    </row>
    <row r="32" ht="15" customHeight="1" s="71">
      <c r="A32" s="91" t="n"/>
      <c r="B32" s="91" t="n"/>
      <c r="C32" s="90" t="n"/>
      <c r="D32" s="91" t="n"/>
    </row>
    <row r="33" ht="15" customHeight="1" s="71">
      <c r="A33" s="91" t="n"/>
      <c r="B33" s="91" t="n"/>
      <c r="C33" s="90" t="n"/>
      <c r="D33" s="91" t="n"/>
    </row>
    <row r="34" ht="15" customHeight="1" s="71">
      <c r="A34" s="91" t="n"/>
      <c r="B34" s="91" t="n"/>
      <c r="C34" s="90" t="n"/>
      <c r="D34" s="91" t="n"/>
    </row>
    <row r="35" ht="15" customHeight="1" s="71">
      <c r="A35" s="91" t="n"/>
      <c r="B35" s="91" t="n"/>
      <c r="C35" s="90" t="n"/>
      <c r="D35" s="91" t="n"/>
    </row>
    <row r="36" ht="15" customHeight="1" s="71">
      <c r="A36" s="91" t="n"/>
      <c r="B36" s="91" t="n"/>
      <c r="C36" s="90" t="n"/>
      <c r="D36" s="91" t="n"/>
    </row>
    <row r="37" ht="15" customHeight="1" s="71">
      <c r="A37" s="91" t="n"/>
      <c r="B37" s="91" t="n"/>
      <c r="C37" s="90" t="n"/>
      <c r="D37" s="91" t="n"/>
    </row>
    <row r="38" ht="15" customHeight="1" s="71">
      <c r="A38" s="91" t="n"/>
      <c r="B38" s="91" t="n"/>
      <c r="C38" s="90" t="n"/>
      <c r="D38" s="91" t="n"/>
    </row>
    <row r="39" ht="15" customHeight="1" s="71">
      <c r="A39" s="91" t="n"/>
      <c r="B39" s="91" t="n"/>
      <c r="C39" s="90" t="n"/>
      <c r="D39" s="91" t="n"/>
    </row>
    <row r="40" ht="15" customHeight="1" s="71">
      <c r="A40" s="91" t="n"/>
      <c r="B40" s="91" t="n"/>
      <c r="C40" s="90" t="n"/>
      <c r="D40" s="91" t="n"/>
    </row>
    <row r="41" ht="15" customHeight="1" s="71">
      <c r="A41" s="91" t="n"/>
      <c r="B41" s="91" t="n"/>
      <c r="C41" s="90" t="n"/>
      <c r="D41" s="91" t="n"/>
    </row>
    <row r="43" ht="15" customHeight="1" s="71">
      <c r="A43" s="80" t="inlineStr">
        <is>
          <t>TAUX ACTIFS POUR LA PÉRIODE — calcul automatique, NE PAS MODIFIER</t>
        </is>
      </c>
    </row>
    <row r="44" ht="15" customHeight="1" s="71">
      <c r="A44" s="81" t="inlineStr">
        <is>
          <t>Code</t>
        </is>
      </c>
      <c r="B44" s="81" t="inlineStr">
        <is>
          <t>Libellé</t>
        </is>
      </c>
      <c r="C44" s="81" t="inlineStr">
        <is>
          <t>Valeur active</t>
        </is>
      </c>
    </row>
    <row r="45" ht="15" customHeight="1" s="71">
      <c r="A45" s="82" t="inlineStr">
        <is>
          <t>VID_SAL</t>
        </is>
      </c>
      <c r="B45" s="82" t="inlineStr">
        <is>
          <t>CNPS – PVID part salariale</t>
        </is>
      </c>
      <c r="C45" s="95">
        <f>LOOKUP(2,1/(($A$8:$A$41&lt;&gt;"")*($A$8:$A$41="VID_SAL")*($C$8:$C$41&lt;=$B$3)),$D$8:$D$41)</f>
        <v/>
      </c>
    </row>
    <row r="46" ht="15" customHeight="1" s="71">
      <c r="A46" s="82" t="inlineStr">
        <is>
          <t>VID_PAT</t>
        </is>
      </c>
      <c r="B46" s="82" t="inlineStr">
        <is>
          <t>CNPS – PVID part patronale</t>
        </is>
      </c>
      <c r="C46" s="95">
        <f>LOOKUP(2,1/(($A$8:$A$41&lt;&gt;"")*($A$8:$A$41="VID_PAT")*($C$8:$C$41&lt;=$B$3)),$D$8:$D$41)</f>
        <v/>
      </c>
    </row>
    <row r="47" ht="15" customHeight="1" s="71">
      <c r="A47" s="82" t="inlineStr">
        <is>
          <t>PF</t>
        </is>
      </c>
      <c r="B47" s="82" t="inlineStr">
        <is>
          <t>CNPS – Prestations familiales (patronale)</t>
        </is>
      </c>
      <c r="C47" s="95">
        <f>LOOKUP(2,1/(($A$8:$A$41&lt;&gt;"")*($A$8:$A$41="PF")*($C$8:$C$41&lt;=$B$3)),$D$8:$D$41)</f>
        <v/>
      </c>
    </row>
    <row r="48" ht="15" customHeight="1" s="71">
      <c r="A48" s="82" t="inlineStr">
        <is>
          <t>AT</t>
        </is>
      </c>
      <c r="B48" s="82" t="inlineStr">
        <is>
          <t>CNPS – Accidents du travail (patronale)</t>
        </is>
      </c>
      <c r="C48" s="95">
        <f>LOOKUP(2,1/(($A$8:$A$41&lt;&gt;"")*($A$8:$A$41="AT")*($C$8:$C$41&lt;=$B$3)),$D$8:$D$41)</f>
        <v/>
      </c>
    </row>
    <row r="49" ht="15" customHeight="1" s="71">
      <c r="A49" s="82" t="inlineStr">
        <is>
          <t>PLAFOND</t>
        </is>
      </c>
      <c r="B49" s="82" t="inlineStr">
        <is>
          <t>Plafond mensuel assiette CNPS (FCFA)</t>
        </is>
      </c>
      <c r="C49" s="83">
        <f>LOOKUP(2,1/(($A$8:$A$41&lt;&gt;"")*($A$8:$A$41="PLAFOND")*($C$8:$C$41&lt;=$B$3)),$D$8:$D$41)</f>
        <v/>
      </c>
    </row>
    <row r="50" ht="15" customHeight="1" s="71">
      <c r="A50" s="82" t="inlineStr">
        <is>
          <t>ABAT_PCT</t>
        </is>
      </c>
      <c r="B50" s="82" t="inlineStr">
        <is>
          <t>Abattement frais professionnels IRPP</t>
        </is>
      </c>
      <c r="C50" s="95">
        <f>LOOKUP(2,1/(($A$8:$A$41&lt;&gt;"")*($A$8:$A$41="ABAT_PCT")*($C$8:$C$41&lt;=$B$3)),$D$8:$D$41)</f>
        <v/>
      </c>
    </row>
    <row r="51" ht="15" customHeight="1" s="71">
      <c r="A51" s="82" t="inlineStr">
        <is>
          <t>ABAT_FIXE</t>
        </is>
      </c>
      <c r="B51" s="82" t="inlineStr">
        <is>
          <t>Abattement forfaitaire annuel IRPP (FCFA)</t>
        </is>
      </c>
      <c r="C51" s="83">
        <f>LOOKUP(2,1/(($A$8:$A$41&lt;&gt;"")*($A$8:$A$41="ABAT_FIXE")*($C$8:$C$41&lt;=$B$3)),$D$8:$D$41)</f>
        <v/>
      </c>
    </row>
    <row r="52" ht="15" customHeight="1" s="71">
      <c r="A52" s="82" t="inlineStr">
        <is>
          <t>CAC</t>
        </is>
      </c>
      <c r="B52" s="82" t="inlineStr">
        <is>
          <t>Centimes Additionnels Communaux (% IRPP)</t>
        </is>
      </c>
      <c r="C52" s="95">
        <f>LOOKUP(2,1/(($A$8:$A$41&lt;&gt;"")*($A$8:$A$41="CAC")*($C$8:$C$41&lt;=$B$3)),$D$8:$D$41)</f>
        <v/>
      </c>
    </row>
    <row r="53" ht="15" customHeight="1" s="71">
      <c r="A53" s="82" t="inlineStr">
        <is>
          <t>CFC_SAL</t>
        </is>
      </c>
      <c r="B53" s="82" t="inlineStr">
        <is>
          <t>CFC – part salariale</t>
        </is>
      </c>
      <c r="C53" s="95">
        <f>LOOKUP(2,1/(($A$8:$A$41&lt;&gt;"")*($A$8:$A$41="CFC_SAL")*($C$8:$C$41&lt;=$B$3)),$D$8:$D$41)</f>
        <v/>
      </c>
    </row>
    <row r="54" ht="15" customHeight="1" s="71">
      <c r="A54" s="82" t="inlineStr">
        <is>
          <t>CFC_PAT</t>
        </is>
      </c>
      <c r="B54" s="82" t="inlineStr">
        <is>
          <t>CFC – part patronale</t>
        </is>
      </c>
      <c r="C54" s="95">
        <f>LOOKUP(2,1/(($A$8:$A$41&lt;&gt;"")*($A$8:$A$41="CFC_PAT")*($C$8:$C$41&lt;=$B$3)),$D$8:$D$41)</f>
        <v/>
      </c>
    </row>
    <row r="55" ht="15" customHeight="1" s="71">
      <c r="A55" s="82" t="inlineStr">
        <is>
          <t>FNE</t>
        </is>
      </c>
      <c r="B55" s="82" t="inlineStr">
        <is>
          <t>FNE – part patronale</t>
        </is>
      </c>
      <c r="C55" s="95">
        <f>LOOKUP(2,1/(($A$8:$A$41&lt;&gt;"")*($A$8:$A$41="FNE")*($C$8:$C$41&lt;=$B$3)),$D$8:$D$41)</f>
        <v/>
      </c>
    </row>
    <row r="56" ht="15" customHeight="1" s="71">
      <c r="A56" s="82" t="inlineStr">
        <is>
          <t>COEF</t>
        </is>
      </c>
      <c r="B56" s="82" t="inlineStr">
        <is>
          <t>Coefficient assiette CNPS ÷ assiette fiscale</t>
        </is>
      </c>
      <c r="C56" s="95">
        <f>LOOKUP(2,1/(($A$8:$A$41&lt;&gt;"")*($A$8:$A$41="COEF")*($C$8:$C$41&lt;=$B$3)),$D$8:$D$41)</f>
        <v/>
      </c>
    </row>
    <row r="57" ht="15" customHeight="1" s="71">
      <c r="A57" s="82" t="inlineStr">
        <is>
          <t>HEURES</t>
        </is>
      </c>
      <c r="B57" s="82" t="inlineStr">
        <is>
          <t>Durée mensuelle légale de travail (heures)</t>
        </is>
      </c>
      <c r="C57" s="96">
        <f>LOOKUP(2,1/(($A$8:$A$41&lt;&gt;"")*($A$8:$A$41="HEURES")*($C$8:$C$41&lt;=$B$3)),$D$8:$D$41)</f>
        <v/>
      </c>
    </row>
    <row r="58" ht="15" customHeight="1" s="71">
      <c r="A58" s="82" t="inlineStr">
        <is>
          <t>ANC_DEF</t>
        </is>
      </c>
      <c r="B58" s="82" t="inlineStr">
        <is>
          <t>Taux prime d'ancienneté par défaut</t>
        </is>
      </c>
      <c r="C58" s="95">
        <f>LOOKUP(2,1/(($A$8:$A$41&lt;&gt;"")*($A$8:$A$41="ANC_DEF")*($C$8:$C$41&lt;=$B$3)),$D$8:$D$41)</f>
        <v/>
      </c>
    </row>
    <row r="60" ht="15" customHeight="1" s="71">
      <c r="A60" s="80" t="inlineStr">
        <is>
          <t>BARÈME IRPP — versionné (une ligne par version, ordre chronologique). Montants annuels par part fiscale.</t>
        </is>
      </c>
    </row>
    <row r="61" ht="15" customHeight="1" s="71">
      <c r="A61" s="81" t="inlineStr">
        <is>
          <t>Date d'effet</t>
        </is>
      </c>
      <c r="B61" s="81" t="inlineStr">
        <is>
          <t>Plafond T1</t>
        </is>
      </c>
      <c r="C61" s="81" t="inlineStr">
        <is>
          <t>Taux T1</t>
        </is>
      </c>
      <c r="D61" s="81" t="inlineStr">
        <is>
          <t>Plafond T2</t>
        </is>
      </c>
      <c r="E61" s="81" t="inlineStr">
        <is>
          <t>Taux T2</t>
        </is>
      </c>
      <c r="F61" s="81" t="inlineStr">
        <is>
          <t>Plafond T3</t>
        </is>
      </c>
      <c r="G61" s="81" t="inlineStr">
        <is>
          <t>Taux T3</t>
        </is>
      </c>
      <c r="H61" s="81" t="inlineStr">
        <is>
          <t>Taux T4</t>
        </is>
      </c>
    </row>
    <row r="62" ht="15" customHeight="1" s="71">
      <c r="A62" s="90" t="n">
        <v>43466</v>
      </c>
      <c r="B62" s="93" t="n">
        <v>2000000</v>
      </c>
      <c r="C62" s="92" t="n">
        <v>0.1</v>
      </c>
      <c r="D62" s="93" t="n">
        <v>3000000</v>
      </c>
      <c r="E62" s="92" t="n">
        <v>0.15</v>
      </c>
      <c r="F62" s="93" t="n">
        <v>5000000</v>
      </c>
      <c r="G62" s="92" t="n">
        <v>0.25</v>
      </c>
      <c r="H62" s="92" t="n">
        <v>0.35</v>
      </c>
    </row>
    <row r="63" ht="15" customHeight="1" s="71">
      <c r="A63" s="90" t="n"/>
      <c r="B63" s="91" t="n"/>
      <c r="C63" s="91" t="n"/>
      <c r="D63" s="91" t="n"/>
      <c r="E63" s="91" t="n"/>
      <c r="F63" s="91" t="n"/>
      <c r="G63" s="91" t="n"/>
      <c r="H63" s="91" t="n"/>
    </row>
    <row r="64" ht="15" customHeight="1" s="71">
      <c r="A64" s="90" t="n"/>
      <c r="B64" s="91" t="n"/>
      <c r="C64" s="91" t="n"/>
      <c r="D64" s="91" t="n"/>
      <c r="E64" s="91" t="n"/>
      <c r="F64" s="91" t="n"/>
      <c r="G64" s="91" t="n"/>
      <c r="H64" s="91" t="n"/>
    </row>
    <row r="65" ht="15" customHeight="1" s="71">
      <c r="A65" s="90" t="n"/>
      <c r="B65" s="91" t="n"/>
      <c r="C65" s="91" t="n"/>
      <c r="D65" s="91" t="n"/>
      <c r="E65" s="91" t="n"/>
      <c r="F65" s="91" t="n"/>
      <c r="G65" s="91" t="n"/>
      <c r="H65" s="91" t="n"/>
    </row>
    <row r="66" ht="15" customHeight="1" s="71">
      <c r="A66" s="90" t="n"/>
      <c r="B66" s="91" t="n"/>
      <c r="C66" s="91" t="n"/>
      <c r="D66" s="91" t="n"/>
      <c r="E66" s="91" t="n"/>
      <c r="F66" s="91" t="n"/>
      <c r="G66" s="91" t="n"/>
      <c r="H66" s="91" t="n"/>
    </row>
    <row r="67" ht="15" customHeight="1" s="71">
      <c r="A67" s="90" t="n"/>
      <c r="B67" s="91" t="n"/>
      <c r="C67" s="91" t="n"/>
      <c r="D67" s="91" t="n"/>
      <c r="E67" s="91" t="n"/>
      <c r="F67" s="91" t="n"/>
      <c r="G67" s="91" t="n"/>
      <c r="H67" s="91" t="n"/>
    </row>
    <row r="69" ht="15" customHeight="1" s="71">
      <c r="A69" s="88" t="inlineStr">
        <is>
          <t>Barème actif pour la période :</t>
        </is>
      </c>
    </row>
    <row r="70" ht="15" customHeight="1" s="71">
      <c r="B70" s="97">
        <f>LOOKUP(2,1/(($A$62:$A$67&lt;&gt;"")*($A$62:$A$67&lt;=$B$3)),B62:B67)</f>
        <v/>
      </c>
      <c r="C70" s="98">
        <f>LOOKUP(2,1/(($A$62:$A$67&lt;&gt;"")*($A$62:$A$67&lt;=$B$3)),C62:C67)</f>
        <v/>
      </c>
      <c r="D70" s="97">
        <f>LOOKUP(2,1/(($A$62:$A$67&lt;&gt;"")*($A$62:$A$67&lt;=$B$3)),D62:D67)</f>
        <v/>
      </c>
      <c r="E70" s="98">
        <f>LOOKUP(2,1/(($A$62:$A$67&lt;&gt;"")*($A$62:$A$67&lt;=$B$3)),E62:E67)</f>
        <v/>
      </c>
      <c r="F70" s="97">
        <f>LOOKUP(2,1/(($A$62:$A$67&lt;&gt;"")*($A$62:$A$67&lt;=$B$3)),F62:F67)</f>
        <v/>
      </c>
      <c r="G70" s="98">
        <f>LOOKUP(2,1/(($A$62:$A$67&lt;&gt;"")*($A$62:$A$67&lt;=$B$3)),G62:G67)</f>
        <v/>
      </c>
      <c r="H70" s="98">
        <f>LOOKUP(2,1/(($A$62:$A$67&lt;&gt;"")*($A$62:$A$67&lt;=$B$3)),H62:H67)</f>
        <v/>
      </c>
    </row>
    <row r="72" ht="15" customHeight="1" s="71">
      <c r="A72" s="80" t="inlineStr">
        <is>
          <t>BARÈME TC / RAV — versionné (une ligne par version, ordre chronologique). Tranches sur salaire brut mensuel.</t>
        </is>
      </c>
    </row>
    <row r="73" ht="15" customHeight="1" s="71">
      <c r="A73" s="81" t="inlineStr">
        <is>
          <t>Date d'effet</t>
        </is>
      </c>
      <c r="B73" s="81" t="inlineStr">
        <is>
          <t>Seuil tranche 1</t>
        </is>
      </c>
      <c r="C73" s="81" t="inlineStr">
        <is>
          <t>TC t1</t>
        </is>
      </c>
      <c r="D73" s="81" t="inlineStr">
        <is>
          <t>RAV t1</t>
        </is>
      </c>
      <c r="E73" s="81" t="inlineStr">
        <is>
          <t>Seuil tranche 2</t>
        </is>
      </c>
      <c r="F73" s="81" t="inlineStr">
        <is>
          <t>TC t2</t>
        </is>
      </c>
      <c r="G73" s="81" t="inlineStr">
        <is>
          <t>RAV t2</t>
        </is>
      </c>
      <c r="H73" s="81" t="inlineStr">
        <is>
          <t>TC t3</t>
        </is>
      </c>
      <c r="I73" s="81" t="inlineStr">
        <is>
          <t>RAV t3</t>
        </is>
      </c>
    </row>
    <row r="74" ht="15" customHeight="1" s="71">
      <c r="A74" s="90" t="n">
        <v>43466</v>
      </c>
      <c r="B74" s="93" t="n">
        <v>110000</v>
      </c>
      <c r="C74" s="93" t="n">
        <v>0</v>
      </c>
      <c r="D74" s="93" t="n">
        <v>1950</v>
      </c>
      <c r="E74" s="93" t="n">
        <v>200000</v>
      </c>
      <c r="F74" s="93" t="n">
        <v>500</v>
      </c>
      <c r="G74" s="93" t="n">
        <v>1950</v>
      </c>
      <c r="H74" s="93" t="n">
        <v>750</v>
      </c>
      <c r="I74" s="93" t="n">
        <v>3250</v>
      </c>
    </row>
    <row r="75" ht="15" customHeight="1" s="71">
      <c r="A75" s="90" t="n"/>
      <c r="B75" s="91" t="n"/>
      <c r="C75" s="91" t="n"/>
      <c r="D75" s="91" t="n"/>
      <c r="E75" s="91" t="n"/>
      <c r="F75" s="91" t="n"/>
      <c r="G75" s="91" t="n"/>
      <c r="H75" s="91" t="n"/>
      <c r="I75" s="91" t="n"/>
    </row>
    <row r="76" ht="15" customHeight="1" s="71">
      <c r="A76" s="90" t="n"/>
      <c r="B76" s="91" t="n"/>
      <c r="C76" s="91" t="n"/>
      <c r="D76" s="91" t="n"/>
      <c r="E76" s="91" t="n"/>
      <c r="F76" s="91" t="n"/>
      <c r="G76" s="91" t="n"/>
      <c r="H76" s="91" t="n"/>
      <c r="I76" s="91" t="n"/>
    </row>
    <row r="77" ht="15" customHeight="1" s="71">
      <c r="A77" s="90" t="n"/>
      <c r="B77" s="91" t="n"/>
      <c r="C77" s="91" t="n"/>
      <c r="D77" s="91" t="n"/>
      <c r="E77" s="91" t="n"/>
      <c r="F77" s="91" t="n"/>
      <c r="G77" s="91" t="n"/>
      <c r="H77" s="91" t="n"/>
      <c r="I77" s="91" t="n"/>
    </row>
    <row r="78" ht="15" customHeight="1" s="71">
      <c r="A78" s="90" t="n"/>
      <c r="B78" s="91" t="n"/>
      <c r="C78" s="91" t="n"/>
      <c r="D78" s="91" t="n"/>
      <c r="E78" s="91" t="n"/>
      <c r="F78" s="91" t="n"/>
      <c r="G78" s="91" t="n"/>
      <c r="H78" s="91" t="n"/>
      <c r="I78" s="91" t="n"/>
    </row>
    <row r="80" ht="15" customHeight="1" s="71">
      <c r="A80" s="88" t="inlineStr">
        <is>
          <t>Barème actif pour la période :</t>
        </is>
      </c>
    </row>
    <row r="81" ht="15" customHeight="1" s="71">
      <c r="B81" s="97">
        <f>LOOKUP(2,1/(($A$74:$A$78&lt;&gt;"")*($A$74:$A$78&lt;=$B$3)),B74:B78)</f>
        <v/>
      </c>
      <c r="C81" s="97">
        <f>LOOKUP(2,1/(($A$74:$A$78&lt;&gt;"")*($A$74:$A$78&lt;=$B$3)),C74:C78)</f>
        <v/>
      </c>
      <c r="D81" s="97">
        <f>LOOKUP(2,1/(($A$74:$A$78&lt;&gt;"")*($A$74:$A$78&lt;=$B$3)),D74:D78)</f>
        <v/>
      </c>
      <c r="E81" s="97">
        <f>LOOKUP(2,1/(($A$74:$A$78&lt;&gt;"")*($A$74:$A$78&lt;=$B$3)),E74:E78)</f>
        <v/>
      </c>
      <c r="F81" s="97">
        <f>LOOKUP(2,1/(($A$74:$A$78&lt;&gt;"")*($A$74:$A$78&lt;=$B$3)),F74:F78)</f>
        <v/>
      </c>
      <c r="G81" s="97">
        <f>LOOKUP(2,1/(($A$74:$A$78&lt;&gt;"")*($A$74:$A$78&lt;=$B$3)),G74:G78)</f>
        <v/>
      </c>
      <c r="H81" s="97">
        <f>LOOKUP(2,1/(($A$74:$A$78&lt;&gt;"")*($A$74:$A$78&lt;=$B$3)),H74:H78)</f>
        <v/>
      </c>
      <c r="I81" s="97">
        <f>LOOKUP(2,1/(($A$74:$A$78&lt;&gt;"")*($A$74:$A$78&lt;=$B$3)),I74:I78)</f>
        <v/>
      </c>
    </row>
    <row r="83" ht="15" customHeight="1" s="71">
      <c r="A83" s="80" t="inlineStr">
        <is>
          <t>LISTE DES DÉPARTEMENTS (utilisée dans les listes déroulantes)</t>
        </is>
      </c>
    </row>
    <row r="84" ht="15" customHeight="1" s="71">
      <c r="A84" s="91" t="inlineStr">
        <is>
          <t>Administration &amp; Finances</t>
        </is>
      </c>
    </row>
    <row r="85" ht="15" customHeight="1" s="71">
      <c r="A85" s="91" t="inlineStr">
        <is>
          <t>Création graphique &amp; Production</t>
        </is>
      </c>
    </row>
    <row r="86" ht="15" customHeight="1" s="71">
      <c r="A86" s="91" t="inlineStr">
        <is>
          <t>Éditorial</t>
        </is>
      </c>
    </row>
    <row r="87" ht="15" customHeight="1" s="71">
      <c r="A87" s="91" t="inlineStr">
        <is>
          <t>Développement éditorial &amp; Communication</t>
        </is>
      </c>
    </row>
    <row r="88" ht="15" customHeight="1" s="71">
      <c r="A88" s="91" t="inlineStr">
        <is>
          <t>Commercial</t>
        </is>
      </c>
    </row>
    <row r="89" ht="15" customHeight="1" s="71">
      <c r="A89" s="91" t="n"/>
    </row>
    <row r="90" ht="15" customHeight="1" s="71">
      <c r="A90" s="91" t="n"/>
    </row>
    <row r="91" ht="15" customHeight="1" s="71">
      <c r="A91" s="91" t="n"/>
    </row>
    <row r="92" ht="15" customHeight="1" s="71">
      <c r="A92" s="91" t="n"/>
    </row>
    <row r="93" ht="15" customHeight="1" s="71">
      <c r="A93" s="91" t="n"/>
    </row>
  </sheetData>
  <mergeCells count="5">
    <mergeCell ref="A43:I43"/>
    <mergeCell ref="A60:I60"/>
    <mergeCell ref="A1:I1"/>
    <mergeCell ref="A6:I6"/>
    <mergeCell ref="A72:I72"/>
  </mergeCell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4.xml><?xml version="1.0" encoding="utf-8"?>
<worksheet xmlns="http://schemas.openxmlformats.org/spreadsheetml/2006/main">
  <sheetPr filterMode="0">
    <outlinePr summaryBelow="1" summaryRight="1"/>
    <pageSetUpPr fitToPage="0"/>
  </sheetPr>
  <dimension ref="A1:AQ64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D21" activeCellId="0" sqref="D21"/>
    </sheetView>
  </sheetViews>
  <sheetFormatPr baseColWidth="8" defaultColWidth="8.71484375" defaultRowHeight="15" zeroHeight="0" outlineLevelRow="0"/>
  <cols>
    <col width="10" customWidth="1" style="70" min="1" max="1"/>
    <col width="34" customWidth="1" style="70" min="2" max="2"/>
    <col width="26" customWidth="1" style="70" min="3" max="3"/>
    <col width="28" customWidth="1" style="70" min="4" max="4"/>
    <col width="12" customWidth="1" style="70" min="5" max="6"/>
    <col width="14" customWidth="1" style="70" min="7" max="7"/>
    <col width="26" customWidth="1" style="70" min="8" max="8"/>
    <col width="14" customWidth="1" style="70" min="9" max="9"/>
    <col width="8" customWidth="1" style="70" min="10" max="10"/>
    <col width="13" customWidth="1" style="70" min="11" max="12"/>
    <col width="15" customWidth="1" style="70" min="13" max="13"/>
    <col width="11" customWidth="1" style="70" min="14" max="14"/>
    <col width="30" customWidth="1" style="70" min="15" max="15"/>
    <col width="16" customWidth="1" style="70" min="16" max="16"/>
    <col width="8" customWidth="1" style="70" min="17" max="18"/>
    <col width="10" customWidth="1" style="70" min="19" max="19"/>
    <col width="8" customWidth="1" style="70" min="20" max="20"/>
    <col width="10" customWidth="1" style="70" min="21" max="22"/>
    <col width="13" customWidth="1" style="70" min="23" max="23"/>
    <col width="16" customWidth="1" style="70" min="24" max="32"/>
    <col width="13" customWidth="1" style="70" min="33" max="33"/>
    <col width="16" customWidth="1" style="70" min="34" max="41"/>
    <col width="13" customWidth="1" style="70" min="42" max="43"/>
  </cols>
  <sheetData>
    <row r="1" ht="15.75" customHeight="1" s="71">
      <c r="A1" s="99" t="inlineStr">
        <is>
          <t>EMPLOYÉS — Base unique du personnel (capacité : 60 salariés)</t>
        </is>
      </c>
    </row>
    <row r="2" ht="15" customHeight="1" s="71">
      <c r="A2" s="100" t="inlineStr">
        <is>
          <t>Une ligne par salarié. Seuls les salariés au statut « Actif » entrent dans le Livre de paie. En cas de départ : Statut = Sorti + Date de sortie (ne jamais supprimer la ligne : l'historique en dépend).</t>
        </is>
      </c>
    </row>
    <row r="4" ht="32.25" customHeight="1" s="71">
      <c r="A4" s="81" t="inlineStr">
        <is>
          <t>Matricule</t>
        </is>
      </c>
      <c r="B4" s="81" t="inlineStr">
        <is>
          <t>Nom &amp; Prénom</t>
        </is>
      </c>
      <c r="C4" s="81" t="inlineStr">
        <is>
          <t>Département</t>
        </is>
      </c>
      <c r="D4" s="81" t="inlineStr">
        <is>
          <t>Catégorie / Échelon</t>
        </is>
      </c>
      <c r="E4" s="81" t="inlineStr">
        <is>
          <t>Date d'entrée</t>
        </is>
      </c>
      <c r="F4" s="81" t="inlineStr">
        <is>
          <t>Date de sortie</t>
        </is>
      </c>
      <c r="G4" s="81" t="inlineStr">
        <is>
          <t>N° CNPS</t>
        </is>
      </c>
      <c r="H4" s="81" t="inlineStr">
        <is>
          <t>Email</t>
        </is>
      </c>
      <c r="I4" s="81" t="inlineStr">
        <is>
          <t>Salaire brut contractuel (FCFA)</t>
        </is>
      </c>
      <c r="J4" s="81" t="inlineStr">
        <is>
          <t>% Salaire de base</t>
        </is>
      </c>
      <c r="K4" s="81" t="inlineStr">
        <is>
          <t>Salaire de base (FCFA)</t>
        </is>
      </c>
      <c r="L4" s="81" t="inlineStr">
        <is>
          <t>Compléments (FCFA)</t>
        </is>
      </c>
      <c r="M4" s="81" t="inlineStr">
        <is>
          <t>Assiette fiscale IRPP/CFC/FNE (FCFA)</t>
        </is>
      </c>
      <c r="N4" s="81" t="inlineStr">
        <is>
          <t>Statut</t>
        </is>
      </c>
      <c r="O4" s="81" t="inlineStr">
        <is>
          <t>Banque / Mode de paiement</t>
        </is>
      </c>
      <c r="P4" s="81" t="inlineStr">
        <is>
          <t>N° Compte</t>
        </is>
      </c>
      <c r="Q4" s="81" t="inlineStr">
        <is>
          <t>Parts fiscales</t>
        </is>
      </c>
      <c r="R4" s="81" t="inlineStr">
        <is>
          <t>Ancienneté (ans)</t>
        </is>
      </c>
      <c r="S4" s="81" t="inlineStr">
        <is>
          <t>Taux prime anc. individuel</t>
        </is>
      </c>
      <c r="T4" s="81" t="inlineStr">
        <is>
          <t>Seuil anc. (ans)</t>
        </is>
      </c>
      <c r="U4" s="81" t="inlineStr">
        <is>
          <t>Appliquer prime anc. ?</t>
        </is>
      </c>
      <c r="V4" s="81" t="inlineStr">
        <is>
          <t>Appliquer parts fiscales ?</t>
        </is>
      </c>
      <c r="W4" s="81" t="inlineStr">
        <is>
          <t>Date de naissance</t>
        </is>
      </c>
      <c r="X4" s="81" t="inlineStr">
        <is>
          <t>Lieu de naissance</t>
        </is>
      </c>
      <c r="Y4" s="81" t="inlineStr">
        <is>
          <t>Sexe</t>
        </is>
      </c>
      <c r="Z4" s="81" t="inlineStr">
        <is>
          <t>Situation familiale</t>
        </is>
      </c>
      <c r="AA4" s="81" t="inlineStr">
        <is>
          <t>Nombre d'enfants à charge</t>
        </is>
      </c>
      <c r="AB4" s="81" t="inlineStr">
        <is>
          <t>N° CNI</t>
        </is>
      </c>
      <c r="AC4" s="81" t="inlineStr">
        <is>
          <t>N° Contribuable (NIU)</t>
        </is>
      </c>
      <c r="AD4" s="81" t="inlineStr">
        <is>
          <t>Téléphone</t>
        </is>
      </c>
      <c r="AE4" s="81" t="inlineStr">
        <is>
          <t>Adresse résidentielle</t>
        </is>
      </c>
      <c r="AF4" s="81" t="inlineStr">
        <is>
          <t>Type de contrat</t>
        </is>
      </c>
      <c r="AG4" s="81" t="inlineStr">
        <is>
          <t>Date de fin de contrat (si CDD)</t>
        </is>
      </c>
      <c r="AH4" s="81" t="inlineStr">
        <is>
          <t>Fonction / Intitulé du poste</t>
        </is>
      </c>
      <c r="AI4" s="81" t="inlineStr">
        <is>
          <t>Personne à contacter (urgence)</t>
        </is>
      </c>
      <c r="AJ4" s="81" t="inlineStr">
        <is>
          <t>Téléphone urgence</t>
        </is>
      </c>
      <c r="AK4" s="81" t="inlineStr">
        <is>
          <t>IBAN / RIB (optionnel)</t>
        </is>
      </c>
      <c r="AL4" s="81" t="inlineStr">
        <is>
          <t>Solde congés reporté N-1 (jours)</t>
        </is>
      </c>
      <c r="AM4" s="81" t="inlineStr">
        <is>
          <t>Jours de congé acquis (cumul, auto)</t>
        </is>
      </c>
      <c r="AN4" s="81" t="inlineStr">
        <is>
          <t>Jours de congés pris (cumul année)</t>
        </is>
      </c>
      <c r="AO4" s="81" t="inlineStr">
        <is>
          <t>Solde de congés disponible (auto)</t>
        </is>
      </c>
      <c r="AP4" s="81" t="inlineStr">
        <is>
          <t>Date dernier congé pris</t>
        </is>
      </c>
      <c r="AQ4" s="81" t="inlineStr">
        <is>
          <t>Date prochain congé prévu</t>
        </is>
      </c>
    </row>
    <row r="5" ht="15" customHeight="1" s="71">
      <c r="A5" s="91" t="inlineStr">
        <is>
          <t>EE-0001</t>
        </is>
      </c>
      <c r="B5" s="91" t="inlineStr">
        <is>
          <t>KPOUMIE NMOUNDEN MOHAMADOU MOUSTAPHA</t>
        </is>
      </c>
      <c r="C5" s="91" t="inlineStr">
        <is>
          <t>Administration &amp; Finances</t>
        </is>
      </c>
      <c r="D5" s="91" t="inlineStr">
        <is>
          <t>9C</t>
        </is>
      </c>
      <c r="E5" s="90" t="n">
        <v>44927</v>
      </c>
      <c r="F5" s="90" t="n"/>
      <c r="G5" s="91" t="inlineStr">
        <is>
          <t>325-1002062-6</t>
        </is>
      </c>
      <c r="H5" s="91" t="inlineStr">
        <is>
          <t>ols201000@gmail.com</t>
        </is>
      </c>
      <c r="I5" s="93" t="n">
        <v>235939</v>
      </c>
      <c r="J5" s="101" t="n">
        <v>0.65</v>
      </c>
      <c r="K5" s="83">
        <f>IF($A5="","",ROUND(N(I5)*N(J5),0))</f>
        <v/>
      </c>
      <c r="L5" s="83">
        <f>IF($A5="","",N(I5)-N(K5))</f>
        <v/>
      </c>
      <c r="M5" s="93" t="n">
        <v>219900</v>
      </c>
      <c r="N5" s="91" t="inlineStr">
        <is>
          <t>Actif</t>
        </is>
      </c>
      <c r="O5" s="91" t="inlineStr">
        <is>
          <t>CCA Bank – Agence Yaoundé Centre</t>
        </is>
      </c>
      <c r="P5" s="91" t="inlineStr">
        <is>
          <t>10039-10009-01276706101-46</t>
        </is>
      </c>
      <c r="Q5" s="91" t="n">
        <v>1</v>
      </c>
      <c r="R5" s="82">
        <f>IF(OR($A5="",E5=""),"—",IFERROR(DATEDIF(E5,PERIODE_DATE,"Y"),"—"))</f>
        <v/>
      </c>
      <c r="S5" s="92" t="n">
        <v>0.05</v>
      </c>
      <c r="T5" s="91" t="n">
        <v>3</v>
      </c>
      <c r="U5" s="91" t="inlineStr">
        <is>
          <t>Oui</t>
        </is>
      </c>
      <c r="V5" s="91" t="inlineStr">
        <is>
          <t>Oui</t>
        </is>
      </c>
      <c r="W5" s="90" t="n">
        <v>32924</v>
      </c>
      <c r="X5" s="91" t="inlineStr">
        <is>
          <t>FOUMBAN</t>
        </is>
      </c>
      <c r="Y5" s="91" t="inlineStr">
        <is>
          <t>H</t>
        </is>
      </c>
      <c r="Z5" s="91" t="inlineStr">
        <is>
          <t>Célibataire</t>
        </is>
      </c>
      <c r="AA5" s="91" t="n">
        <v>3</v>
      </c>
      <c r="AB5" s="91" t="inlineStr">
        <is>
          <t>AA14600460</t>
        </is>
      </c>
      <c r="AC5" s="91" t="inlineStr">
        <is>
          <t>P029014911271L</t>
        </is>
      </c>
      <c r="AD5" s="91" t="n">
        <v>695749556</v>
      </c>
      <c r="AE5" s="91" t="inlineStr">
        <is>
          <t>essos</t>
        </is>
      </c>
      <c r="AF5" s="91" t="inlineStr">
        <is>
          <t>CDI</t>
        </is>
      </c>
      <c r="AG5" s="90" t="n"/>
      <c r="AH5" s="91" t="inlineStr">
        <is>
          <t>COMPTABLE</t>
        </is>
      </c>
      <c r="AI5" s="91" t="inlineStr">
        <is>
          <t>Mongbet ousseni</t>
        </is>
      </c>
      <c r="AJ5" s="91" t="n">
        <v>671975662</v>
      </c>
      <c r="AK5" s="91" t="n"/>
      <c r="AL5" s="93" t="n">
        <v>157500</v>
      </c>
      <c r="AM5" s="84">
        <f>IF($A5="","",ROUND(DATEDIF($E5,IF($F5="",PERIODE_DATE,$F5),"m")*1.5,1))</f>
        <v/>
      </c>
      <c r="AN5" s="91" t="n">
        <v>0</v>
      </c>
      <c r="AO5" s="84">
        <f>IF($A5="","",ROUND(N(AL5)+N(AM5)-N(AN5),1))</f>
        <v/>
      </c>
      <c r="AP5" s="90" t="n"/>
      <c r="AQ5" s="90" t="n"/>
    </row>
    <row r="6" ht="15" customHeight="1" s="71">
      <c r="A6" s="91" t="inlineStr">
        <is>
          <t>EE-0002</t>
        </is>
      </c>
      <c r="B6" s="91" t="inlineStr">
        <is>
          <t>BIBI TSANGA VALENTIN NASTHASE</t>
        </is>
      </c>
      <c r="C6" s="91" t="inlineStr">
        <is>
          <t>Création graphique &amp; Production</t>
        </is>
      </c>
      <c r="D6" s="91" t="inlineStr">
        <is>
          <t>9D</t>
        </is>
      </c>
      <c r="E6" s="90" t="n">
        <v>44927</v>
      </c>
      <c r="F6" s="90" t="n"/>
      <c r="G6" s="91" t="inlineStr">
        <is>
          <t>321-1070936-8</t>
        </is>
      </c>
      <c r="H6" s="91" t="inlineStr">
        <is>
          <t>bi.businesslife@gmail.com</t>
        </is>
      </c>
      <c r="I6" s="93" t="n">
        <v>243838</v>
      </c>
      <c r="J6" s="101" t="n">
        <v>0.65</v>
      </c>
      <c r="K6" s="83">
        <f>IF($A6="","",ROUND(N(I6)*N(J6),0))</f>
        <v/>
      </c>
      <c r="L6" s="83">
        <f>IF($A6="","",N(I6)-N(K6))</f>
        <v/>
      </c>
      <c r="M6" s="93" t="n">
        <v>202500</v>
      </c>
      <c r="N6" s="91" t="inlineStr">
        <is>
          <t>Actif</t>
        </is>
      </c>
      <c r="O6" s="91" t="inlineStr">
        <is>
          <t>CCA Bank – Agence Yaoundé Centre</t>
        </is>
      </c>
      <c r="P6" s="91" t="inlineStr">
        <is>
          <t>10039-10009-01276704101-32</t>
        </is>
      </c>
      <c r="Q6" s="91" t="n">
        <v>1</v>
      </c>
      <c r="R6" s="82">
        <f>IF(OR($A6="",E6=""),"—",IFERROR(DATEDIF(E6,PERIODE_DATE,"Y"),"—"))</f>
        <v/>
      </c>
      <c r="S6" s="92" t="n">
        <v>0.05</v>
      </c>
      <c r="T6" s="91" t="n">
        <v>3</v>
      </c>
      <c r="U6" s="91" t="inlineStr">
        <is>
          <t>Oui</t>
        </is>
      </c>
      <c r="V6" s="91" t="inlineStr">
        <is>
          <t>Oui</t>
        </is>
      </c>
      <c r="W6" s="90" t="n">
        <v>33142</v>
      </c>
      <c r="X6" s="91" t="inlineStr">
        <is>
          <t>YAOUNDE</t>
        </is>
      </c>
      <c r="Y6" s="91" t="inlineStr">
        <is>
          <t>H</t>
        </is>
      </c>
      <c r="Z6" s="91" t="inlineStr">
        <is>
          <t>Célibataire</t>
        </is>
      </c>
      <c r="AA6" s="91" t="n">
        <v>2</v>
      </c>
      <c r="AB6" s="91" t="n">
        <v>116989475</v>
      </c>
      <c r="AC6" s="91" t="n"/>
      <c r="AD6" s="91" t="n"/>
      <c r="AE6" s="91" t="n"/>
      <c r="AF6" s="91" t="inlineStr">
        <is>
          <t>CDI</t>
        </is>
      </c>
      <c r="AG6" s="90" t="n"/>
      <c r="AH6" s="91" t="inlineStr">
        <is>
          <t>GRAPHISTE</t>
        </is>
      </c>
      <c r="AI6" s="91" t="inlineStr">
        <is>
          <t xml:space="preserve"> FOUDA MBENTY Marie Henriette </t>
        </is>
      </c>
      <c r="AJ6" s="91" t="n">
        <v>655306094</v>
      </c>
      <c r="AK6" s="91" t="n"/>
      <c r="AL6" s="93" t="n">
        <v>165000</v>
      </c>
      <c r="AM6" s="84">
        <f>IF($A6="","",ROUND(DATEDIF($E6,IF($F6="",PERIODE_DATE,$F6),"m")*1.5,1))</f>
        <v/>
      </c>
      <c r="AN6" s="91" t="n">
        <v>0</v>
      </c>
      <c r="AO6" s="84">
        <f>IF($A6="","",ROUND(N(AL6)+N(AM6)-N(AN6),1))</f>
        <v/>
      </c>
      <c r="AP6" s="90" t="n"/>
      <c r="AQ6" s="90" t="n"/>
    </row>
    <row r="7" ht="15" customHeight="1" s="71">
      <c r="A7" s="91" t="inlineStr">
        <is>
          <t>EE-0003</t>
        </is>
      </c>
      <c r="B7" s="91" t="inlineStr">
        <is>
          <t>NOAH MBALA HERMANN</t>
        </is>
      </c>
      <c r="C7" s="91" t="inlineStr">
        <is>
          <t>Création graphique &amp; Production</t>
        </is>
      </c>
      <c r="D7" s="91" t="inlineStr">
        <is>
          <t>9D</t>
        </is>
      </c>
      <c r="E7" s="90" t="n">
        <v>44927</v>
      </c>
      <c r="F7" s="90" t="n"/>
      <c r="G7" s="91" t="inlineStr">
        <is>
          <t>326-1063009-3</t>
        </is>
      </c>
      <c r="H7" s="91" t="inlineStr">
        <is>
          <t>herman@eclosion.cm</t>
        </is>
      </c>
      <c r="I7" s="93" t="n">
        <v>243838</v>
      </c>
      <c r="J7" s="101" t="n">
        <v>0.65</v>
      </c>
      <c r="K7" s="83">
        <f>IF($A7="","",ROUND(N(I7)*N(J7),0))</f>
        <v/>
      </c>
      <c r="L7" s="83">
        <f>IF($A7="","",N(I7)-N(K7))</f>
        <v/>
      </c>
      <c r="M7" s="93" t="n">
        <v>202500</v>
      </c>
      <c r="N7" s="91" t="inlineStr">
        <is>
          <t>Actif</t>
        </is>
      </c>
      <c r="O7" s="91" t="inlineStr">
        <is>
          <t>CCA Bank – Agence Yaoundé Centre</t>
        </is>
      </c>
      <c r="P7" s="91" t="inlineStr">
        <is>
          <t>10039-10009-01276704101-33</t>
        </is>
      </c>
      <c r="Q7" s="91" t="n">
        <v>1</v>
      </c>
      <c r="R7" s="82">
        <f>IF(OR($A7="",E7=""),"—",IFERROR(DATEDIF(E7,PERIODE_DATE,"Y"),"—"))</f>
        <v/>
      </c>
      <c r="S7" s="92" t="n">
        <v>0.05</v>
      </c>
      <c r="T7" s="91" t="n">
        <v>3</v>
      </c>
      <c r="U7" s="91" t="inlineStr">
        <is>
          <t>Oui</t>
        </is>
      </c>
      <c r="V7" s="91" t="inlineStr">
        <is>
          <t>Oui</t>
        </is>
      </c>
      <c r="W7" s="102" t="n">
        <v>32776</v>
      </c>
      <c r="X7" s="91" t="inlineStr">
        <is>
          <t>DOUALA</t>
        </is>
      </c>
      <c r="Y7" s="91" t="inlineStr">
        <is>
          <t>H</t>
        </is>
      </c>
      <c r="Z7" s="91" t="inlineStr">
        <is>
          <t>Célibataire</t>
        </is>
      </c>
      <c r="AA7" s="91" t="n">
        <v>0</v>
      </c>
      <c r="AB7" s="91" t="inlineStr">
        <is>
          <t>AB07291826</t>
        </is>
      </c>
      <c r="AC7" s="91" t="inlineStr">
        <is>
          <t>P098917002579B</t>
        </is>
      </c>
      <c r="AD7" s="91" t="n">
        <v>695968523</v>
      </c>
      <c r="AE7" s="91" t="inlineStr">
        <is>
          <t>Ngousso</t>
        </is>
      </c>
      <c r="AF7" s="91" t="inlineStr">
        <is>
          <t>CDI</t>
        </is>
      </c>
      <c r="AG7" s="90" t="n"/>
      <c r="AH7" s="91" t="inlineStr">
        <is>
          <t>GRAPHISTE</t>
        </is>
      </c>
      <c r="AI7" s="91" t="inlineStr">
        <is>
          <t>NOAH MBALA HERMANN</t>
        </is>
      </c>
      <c r="AJ7" s="91" t="n">
        <v>695968523</v>
      </c>
      <c r="AK7" s="91" t="n"/>
      <c r="AL7" s="93" t="n">
        <v>165000</v>
      </c>
      <c r="AM7" s="84">
        <f>IF($A7="","",ROUND(DATEDIF($E7,IF($F7="",PERIODE_DATE,$F7),"m")*1.5,1))</f>
        <v/>
      </c>
      <c r="AN7" s="91" t="n">
        <v>0</v>
      </c>
      <c r="AO7" s="84">
        <f>IF($A7="","",ROUND(N(AL7)+N(AM7)-N(AN7),1))</f>
        <v/>
      </c>
      <c r="AP7" s="90" t="n"/>
      <c r="AQ7" s="90" t="n"/>
    </row>
    <row r="8" ht="15" customHeight="1" s="71">
      <c r="A8" s="91" t="inlineStr">
        <is>
          <t>EE-0004</t>
        </is>
      </c>
      <c r="B8" s="91" t="inlineStr">
        <is>
          <t>SAHA PAGUEM MURIELLE JOSE</t>
        </is>
      </c>
      <c r="C8" s="91" t="inlineStr">
        <is>
          <t>Éditorial</t>
        </is>
      </c>
      <c r="D8" s="91" t="inlineStr">
        <is>
          <t>7E</t>
        </is>
      </c>
      <c r="E8" s="90" t="n">
        <v>46025</v>
      </c>
      <c r="F8" s="90" t="n"/>
      <c r="G8" s="91" t="inlineStr">
        <is>
          <t>329-0022841-1</t>
        </is>
      </c>
      <c r="H8" s="91" t="inlineStr">
        <is>
          <t>muriellepaguem1999@gmail.com</t>
        </is>
      </c>
      <c r="I8" s="93" t="n">
        <v>163846</v>
      </c>
      <c r="J8" s="101" t="n">
        <v>0.65</v>
      </c>
      <c r="K8" s="83">
        <f>IF($A8="","",ROUND(N(I8)*N(J8),0))</f>
        <v/>
      </c>
      <c r="L8" s="83">
        <f>IF($A8="","",N(I8)-N(K8))</f>
        <v/>
      </c>
      <c r="M8" s="93" t="n">
        <v>132500</v>
      </c>
      <c r="N8" s="91" t="inlineStr">
        <is>
          <t>Actif</t>
        </is>
      </c>
      <c r="O8" s="91" t="inlineStr">
        <is>
          <t>CCA Bank – Agence Yaoundé Centre</t>
        </is>
      </c>
      <c r="P8" s="91" t="inlineStr">
        <is>
          <t>10039-10009-09176922801-49</t>
        </is>
      </c>
      <c r="Q8" s="91" t="n">
        <v>1</v>
      </c>
      <c r="R8" s="82">
        <f>IF(OR($A8="",E8=""),"—",IFERROR(DATEDIF(E8,PERIODE_DATE,"Y"),"—"))</f>
        <v/>
      </c>
      <c r="S8" s="92" t="n">
        <v>0.05</v>
      </c>
      <c r="T8" s="91" t="n">
        <v>3</v>
      </c>
      <c r="U8" s="91" t="inlineStr">
        <is>
          <t>Oui</t>
        </is>
      </c>
      <c r="V8" s="91" t="inlineStr">
        <is>
          <t>Oui</t>
        </is>
      </c>
      <c r="W8" s="90" t="n"/>
      <c r="X8" s="91" t="n"/>
      <c r="Y8" s="91" t="inlineStr">
        <is>
          <t>F</t>
        </is>
      </c>
      <c r="Z8" s="91" t="inlineStr">
        <is>
          <t>Célibataire</t>
        </is>
      </c>
      <c r="AA8" s="91" t="n">
        <v>0</v>
      </c>
      <c r="AB8" s="91" t="inlineStr">
        <is>
          <t>ooo543024</t>
        </is>
      </c>
      <c r="AC8" s="91" t="inlineStr">
        <is>
          <t>P079917221827Z</t>
        </is>
      </c>
      <c r="AD8" s="91" t="n">
        <v>693798237</v>
      </c>
      <c r="AE8" s="91" t="inlineStr">
        <is>
          <t>Yaoundé - Mendong</t>
        </is>
      </c>
      <c r="AF8" s="91" t="inlineStr">
        <is>
          <t>CDI</t>
        </is>
      </c>
      <c r="AG8" s="90" t="n"/>
      <c r="AH8" s="91" t="inlineStr">
        <is>
          <t>EDITRICE</t>
        </is>
      </c>
      <c r="AI8" s="91" t="inlineStr">
        <is>
          <t>Paguem Angéline</t>
        </is>
      </c>
      <c r="AJ8" s="91" t="n">
        <v>699665574</v>
      </c>
      <c r="AK8" s="91" t="n"/>
      <c r="AL8" s="91" t="n"/>
      <c r="AM8" s="84">
        <f>IF($A8="","",ROUND(DATEDIF($E8,IF($F8="",PERIODE_DATE,$F8),"m")*1.5,1))</f>
        <v/>
      </c>
      <c r="AN8" s="91" t="n">
        <v>0</v>
      </c>
      <c r="AO8" s="84">
        <f>IF($A8="","",ROUND(N(AL8)+N(AM8)-N(AN8),1))</f>
        <v/>
      </c>
      <c r="AP8" s="90" t="n"/>
      <c r="AQ8" s="90" t="n"/>
    </row>
    <row r="9" ht="15" customHeight="1" s="71">
      <c r="A9" s="91" t="inlineStr">
        <is>
          <t>EE-0005</t>
        </is>
      </c>
      <c r="B9" s="91" t="inlineStr">
        <is>
          <t>NGONO ANGELINE CHRISTELLE</t>
        </is>
      </c>
      <c r="C9" s="91" t="inlineStr">
        <is>
          <t>Développement éditorial &amp; Communication</t>
        </is>
      </c>
      <c r="D9" s="91" t="inlineStr">
        <is>
          <t>5D</t>
        </is>
      </c>
      <c r="E9" s="90" t="n">
        <v>46058</v>
      </c>
      <c r="F9" s="90" t="n"/>
      <c r="G9" s="91" t="inlineStr">
        <is>
          <t>329-0140450-2</t>
        </is>
      </c>
      <c r="H9" s="91" t="inlineStr">
        <is>
          <t>angeline@eclosion.cm</t>
        </is>
      </c>
      <c r="I9" s="93" t="n">
        <v>108792</v>
      </c>
      <c r="J9" s="101" t="n">
        <v>0.65</v>
      </c>
      <c r="K9" s="83">
        <f>IF($A9="","",ROUND(N(I9)*N(J9),0))</f>
        <v/>
      </c>
      <c r="L9" s="83">
        <f>IF($A9="","",N(I9)-N(K9))</f>
        <v/>
      </c>
      <c r="M9" s="93" t="n">
        <v>94700</v>
      </c>
      <c r="N9" s="91" t="inlineStr">
        <is>
          <t>Actif</t>
        </is>
      </c>
      <c r="O9" s="91" t="inlineStr">
        <is>
          <t>CCA Bank – Agence Yaoundé Centre</t>
        </is>
      </c>
      <c r="P9" s="91" t="inlineStr">
        <is>
          <t>10039-10044-01277376501-04</t>
        </is>
      </c>
      <c r="Q9" s="91" t="n">
        <v>1</v>
      </c>
      <c r="R9" s="82">
        <f>IF(OR($A9="",E9=""),"—",IFERROR(DATEDIF(E9,PERIODE_DATE,"Y"),"—"))</f>
        <v/>
      </c>
      <c r="S9" s="92" t="n">
        <v>0.05</v>
      </c>
      <c r="T9" s="91" t="n">
        <v>3</v>
      </c>
      <c r="U9" s="91" t="inlineStr">
        <is>
          <t>Oui</t>
        </is>
      </c>
      <c r="V9" s="91" t="inlineStr">
        <is>
          <t>Oui</t>
        </is>
      </c>
      <c r="W9" s="90" t="n">
        <v>36857</v>
      </c>
      <c r="X9" s="91" t="inlineStr">
        <is>
          <t>MONATELE</t>
        </is>
      </c>
      <c r="Y9" s="91" t="inlineStr">
        <is>
          <t>F</t>
        </is>
      </c>
      <c r="Z9" s="91" t="inlineStr">
        <is>
          <t>Célibataire</t>
        </is>
      </c>
      <c r="AA9" s="91" t="n">
        <v>1</v>
      </c>
      <c r="AB9" s="91" t="n"/>
      <c r="AC9" s="91" t="n"/>
      <c r="AD9" s="91" t="n">
        <v>671364041</v>
      </c>
      <c r="AE9" s="91" t="inlineStr">
        <is>
          <t>FOUDA</t>
        </is>
      </c>
      <c r="AF9" s="91" t="inlineStr">
        <is>
          <t>CDI</t>
        </is>
      </c>
      <c r="AG9" s="90" t="n"/>
      <c r="AH9" s="91" t="inlineStr">
        <is>
          <t>RH</t>
        </is>
      </c>
      <c r="AI9" s="91" t="inlineStr">
        <is>
          <t>NGAH NGUENE DELPHINE</t>
        </is>
      </c>
      <c r="AJ9" s="91" t="n">
        <v>691384546</v>
      </c>
      <c r="AK9" s="91" t="n"/>
      <c r="AL9" s="91" t="n"/>
      <c r="AM9" s="84">
        <f>IF($A9="","",ROUND(DATEDIF($E9,IF($F9="",PERIODE_DATE,$F9),"m")*1.5,1))</f>
        <v/>
      </c>
      <c r="AN9" s="91" t="n">
        <v>0</v>
      </c>
      <c r="AO9" s="84">
        <f>IF($A9="","",ROUND(N(AL9)+N(AM9)-N(AN9),1))</f>
        <v/>
      </c>
      <c r="AP9" s="90" t="n"/>
      <c r="AQ9" s="90" t="n"/>
    </row>
    <row r="10" ht="15" customHeight="1" s="71">
      <c r="A10" s="91" t="inlineStr">
        <is>
          <t>EE-0006</t>
        </is>
      </c>
      <c r="B10" s="91" t="inlineStr">
        <is>
          <t>À pourvoir / Titulaire à compléter</t>
        </is>
      </c>
      <c r="C10" s="91" t="inlineStr">
        <is>
          <t>Commercial</t>
        </is>
      </c>
      <c r="D10" s="91" t="inlineStr">
        <is>
          <t>Agent / Commercial</t>
        </is>
      </c>
      <c r="E10" s="90" t="n"/>
      <c r="F10" s="90" t="n"/>
      <c r="G10" s="91" t="inlineStr">
        <is>
          <t>À compléter</t>
        </is>
      </c>
      <c r="H10" s="91" t="inlineStr">
        <is>
          <t>À compléter</t>
        </is>
      </c>
      <c r="I10" s="93" t="n"/>
      <c r="J10" s="101" t="n">
        <v>0.65</v>
      </c>
      <c r="K10" s="83">
        <f>IF($A10="","",ROUND(N(I10)*N(J10),0))</f>
        <v/>
      </c>
      <c r="L10" s="83">
        <f>IF($A10="","",N(I10)-N(K10))</f>
        <v/>
      </c>
      <c r="M10" s="93" t="n"/>
      <c r="N10" s="91" t="inlineStr">
        <is>
          <t>À pourvoir</t>
        </is>
      </c>
      <c r="O10" s="91" t="n"/>
      <c r="P10" s="91" t="inlineStr">
        <is>
          <t>À compléter</t>
        </is>
      </c>
      <c r="Q10" s="91" t="n">
        <v>1</v>
      </c>
      <c r="R10" s="82">
        <f>IF(OR($A10="",E10=""),"—",IFERROR(DATEDIF(E10,PERIODE_DATE,"Y"),"—"))</f>
        <v/>
      </c>
      <c r="S10" s="92" t="n">
        <v>0.05</v>
      </c>
      <c r="T10" s="91" t="n">
        <v>3</v>
      </c>
      <c r="U10" s="91" t="inlineStr">
        <is>
          <t>Oui</t>
        </is>
      </c>
      <c r="V10" s="91" t="inlineStr">
        <is>
          <t>Oui</t>
        </is>
      </c>
      <c r="W10" s="90" t="n"/>
      <c r="X10" s="91" t="n"/>
      <c r="Y10" s="91" t="n"/>
      <c r="Z10" s="91" t="n"/>
      <c r="AA10" s="91" t="n"/>
      <c r="AB10" s="91" t="n"/>
      <c r="AC10" s="91" t="n"/>
      <c r="AD10" s="91" t="n"/>
      <c r="AE10" s="91" t="n"/>
      <c r="AF10" s="91" t="n"/>
      <c r="AG10" s="90" t="n"/>
      <c r="AH10" s="91" t="n"/>
      <c r="AI10" s="91" t="n"/>
      <c r="AJ10" s="91" t="n"/>
      <c r="AK10" s="91" t="n"/>
      <c r="AL10" s="91" t="n"/>
      <c r="AM10" s="84">
        <f>IF($A10="","",ROUND(DATEDIF($E10,IF($F10="",PERIODE_DATE,$F10),"m")*1.5,1))</f>
        <v/>
      </c>
      <c r="AN10" s="91" t="n">
        <v>0</v>
      </c>
      <c r="AO10" s="84">
        <f>IF($A10="","",ROUND(N(AL10)+N(AM10)-N(AN10),1))</f>
        <v/>
      </c>
      <c r="AP10" s="90" t="n"/>
      <c r="AQ10" s="90" t="n"/>
    </row>
    <row r="11" ht="15" customHeight="1" s="71">
      <c r="A11" s="91" t="n"/>
      <c r="B11" s="91" t="n"/>
      <c r="C11" s="91" t="n"/>
      <c r="D11" s="91" t="n"/>
      <c r="E11" s="90" t="n"/>
      <c r="F11" s="90" t="n"/>
      <c r="G11" s="91" t="n"/>
      <c r="H11" s="91" t="n"/>
      <c r="I11" s="93" t="n"/>
      <c r="J11" s="101" t="n"/>
      <c r="K11" s="83">
        <f>IF($A11="","",ROUND(N(I11)*N(J11),0))</f>
        <v/>
      </c>
      <c r="L11" s="83">
        <f>IF($A11="","",N(I11)-N(K11))</f>
        <v/>
      </c>
      <c r="M11" s="93" t="n"/>
      <c r="N11" s="91" t="n"/>
      <c r="O11" s="91" t="n"/>
      <c r="P11" s="91" t="n"/>
      <c r="Q11" s="91" t="n"/>
      <c r="R11" s="82">
        <f>IF(OR($A11="",E11=""),"—",IFERROR(DATEDIF(E11,PERIODE_DATE,"Y"),"—"))</f>
        <v/>
      </c>
      <c r="S11" s="92" t="n"/>
      <c r="T11" s="91" t="n"/>
      <c r="U11" s="91" t="n"/>
      <c r="V11" s="91" t="n"/>
      <c r="W11" s="90" t="n"/>
      <c r="X11" s="91" t="n"/>
      <c r="Y11" s="91" t="n"/>
      <c r="Z11" s="91" t="n"/>
      <c r="AA11" s="91" t="n"/>
      <c r="AB11" s="91" t="n"/>
      <c r="AC11" s="91" t="n"/>
      <c r="AD11" s="91" t="n"/>
      <c r="AE11" s="91" t="n"/>
      <c r="AF11" s="91" t="n"/>
      <c r="AG11" s="90" t="n"/>
      <c r="AH11" s="91" t="n"/>
      <c r="AI11" s="91" t="n"/>
      <c r="AJ11" s="91" t="n"/>
      <c r="AK11" s="91" t="n"/>
      <c r="AL11" s="91" t="n"/>
      <c r="AM11" s="84">
        <f>IF($A11="","",ROUND(DATEDIF($E11,IF($F11="",PERIODE_DATE,$F11),"m")*1.5,1))</f>
        <v/>
      </c>
      <c r="AN11" s="91" t="n"/>
      <c r="AO11" s="84">
        <f>IF($A11="","",ROUND(N(AL11)+N(AM11)-N(AN11),1))</f>
        <v/>
      </c>
      <c r="AP11" s="90" t="n"/>
      <c r="AQ11" s="90" t="n"/>
    </row>
    <row r="12" ht="15" customHeight="1" s="71">
      <c r="A12" s="91" t="n"/>
      <c r="B12" s="91" t="n"/>
      <c r="C12" s="91" t="n"/>
      <c r="D12" s="91" t="n"/>
      <c r="E12" s="90" t="n"/>
      <c r="F12" s="90" t="n"/>
      <c r="G12" s="91" t="n"/>
      <c r="H12" s="91" t="n"/>
      <c r="I12" s="93" t="n"/>
      <c r="J12" s="101" t="n"/>
      <c r="K12" s="83">
        <f>IF($A12="","",ROUND(N(I12)*N(J12),0))</f>
        <v/>
      </c>
      <c r="L12" s="83">
        <f>IF($A12="","",N(I12)-N(K12))</f>
        <v/>
      </c>
      <c r="M12" s="93" t="n"/>
      <c r="N12" s="91" t="n"/>
      <c r="O12" s="91" t="n"/>
      <c r="P12" s="91" t="n"/>
      <c r="Q12" s="91" t="n"/>
      <c r="R12" s="82">
        <f>IF(OR($A12="",E12=""),"—",IFERROR(DATEDIF(E12,PERIODE_DATE,"Y"),"—"))</f>
        <v/>
      </c>
      <c r="S12" s="92" t="n"/>
      <c r="T12" s="91" t="n"/>
      <c r="U12" s="91" t="n"/>
      <c r="V12" s="91" t="n"/>
      <c r="W12" s="90" t="n"/>
      <c r="X12" s="91" t="n"/>
      <c r="Y12" s="91" t="n"/>
      <c r="Z12" s="91" t="n"/>
      <c r="AA12" s="91" t="n"/>
      <c r="AB12" s="91" t="n"/>
      <c r="AC12" s="91" t="n"/>
      <c r="AD12" s="91" t="n"/>
      <c r="AE12" s="91" t="n"/>
      <c r="AF12" s="91" t="n"/>
      <c r="AG12" s="90" t="n"/>
      <c r="AH12" s="91" t="n"/>
      <c r="AI12" s="91" t="n"/>
      <c r="AJ12" s="91" t="n"/>
      <c r="AK12" s="91" t="n"/>
      <c r="AL12" s="91" t="n"/>
      <c r="AM12" s="84">
        <f>IF($A12="","",ROUND(DATEDIF($E12,IF($F12="",PERIODE_DATE,$F12),"m")*1.5,1))</f>
        <v/>
      </c>
      <c r="AN12" s="91" t="n"/>
      <c r="AO12" s="84">
        <f>IF($A12="","",ROUND(N(AL12)+N(AM12)-N(AN12),1))</f>
        <v/>
      </c>
      <c r="AP12" s="90" t="n"/>
      <c r="AQ12" s="90" t="n"/>
    </row>
    <row r="13" ht="15" customHeight="1" s="71">
      <c r="A13" s="91" t="n"/>
      <c r="B13" s="91" t="n"/>
      <c r="C13" s="91" t="n"/>
      <c r="D13" s="91" t="n"/>
      <c r="E13" s="90" t="n"/>
      <c r="F13" s="90" t="n"/>
      <c r="G13" s="91" t="n"/>
      <c r="H13" s="91" t="n"/>
      <c r="I13" s="93" t="n"/>
      <c r="J13" s="101" t="n"/>
      <c r="K13" s="83">
        <f>IF($A13="","",ROUND(N(I13)*N(J13),0))</f>
        <v/>
      </c>
      <c r="L13" s="83">
        <f>IF($A13="","",N(I13)-N(K13))</f>
        <v/>
      </c>
      <c r="M13" s="93" t="n"/>
      <c r="N13" s="91" t="n"/>
      <c r="O13" s="91" t="n"/>
      <c r="P13" s="91" t="n"/>
      <c r="Q13" s="91" t="n"/>
      <c r="R13" s="82">
        <f>IF(OR($A13="",E13=""),"—",IFERROR(DATEDIF(E13,PERIODE_DATE,"Y"),"—"))</f>
        <v/>
      </c>
      <c r="S13" s="92" t="n"/>
      <c r="T13" s="91" t="n"/>
      <c r="U13" s="91" t="n"/>
      <c r="V13" s="91" t="n"/>
      <c r="W13" s="90" t="n"/>
      <c r="X13" s="91" t="n"/>
      <c r="Y13" s="91" t="n"/>
      <c r="Z13" s="91" t="n"/>
      <c r="AA13" s="91" t="n"/>
      <c r="AB13" s="91" t="n"/>
      <c r="AC13" s="91" t="inlineStr">
        <is>
          <t xml:space="preserve">
</t>
        </is>
      </c>
      <c r="AD13" s="91" t="n"/>
      <c r="AE13" s="91" t="n"/>
      <c r="AF13" s="91" t="n"/>
      <c r="AG13" s="90" t="n"/>
      <c r="AH13" s="91" t="n"/>
      <c r="AI13" s="91" t="n"/>
      <c r="AJ13" s="91" t="n"/>
      <c r="AK13" s="91" t="n"/>
      <c r="AL13" s="91" t="n"/>
      <c r="AM13" s="84">
        <f>IF($A13="","",ROUND(DATEDIF($E13,IF($F13="",PERIODE_DATE,$F13),"m")*1.5,1))</f>
        <v/>
      </c>
      <c r="AN13" s="91" t="n"/>
      <c r="AO13" s="84">
        <f>IF($A13="","",ROUND(N(AL13)+N(AM13)-N(AN13),1))</f>
        <v/>
      </c>
      <c r="AP13" s="90" t="n"/>
      <c r="AQ13" s="90" t="n"/>
    </row>
    <row r="14" ht="15" customHeight="1" s="71">
      <c r="A14" s="91" t="n"/>
      <c r="B14" s="91" t="n"/>
      <c r="C14" s="91" t="n"/>
      <c r="D14" s="91" t="n"/>
      <c r="E14" s="90" t="n"/>
      <c r="F14" s="90" t="n"/>
      <c r="G14" s="91" t="n"/>
      <c r="H14" s="91" t="n"/>
      <c r="I14" s="93" t="n"/>
      <c r="J14" s="101" t="n"/>
      <c r="K14" s="83">
        <f>IF($A14="","",ROUND(N(I14)*N(J14),0))</f>
        <v/>
      </c>
      <c r="L14" s="83">
        <f>IF($A14="","",N(I14)-N(K14))</f>
        <v/>
      </c>
      <c r="M14" s="93" t="n"/>
      <c r="N14" s="91" t="n"/>
      <c r="O14" s="91" t="n"/>
      <c r="P14" s="91" t="n"/>
      <c r="Q14" s="91" t="n"/>
      <c r="R14" s="82">
        <f>IF(OR($A14="",E14=""),"—",IFERROR(DATEDIF(E14,PERIODE_DATE,"Y"),"—"))</f>
        <v/>
      </c>
      <c r="S14" s="92" t="n"/>
      <c r="T14" s="91" t="n"/>
      <c r="U14" s="91" t="n"/>
      <c r="V14" s="91" t="n"/>
      <c r="W14" s="90" t="n"/>
      <c r="X14" s="91" t="n"/>
      <c r="Y14" s="91" t="n"/>
      <c r="Z14" s="91" t="n"/>
      <c r="AA14" s="91" t="n"/>
      <c r="AB14" s="91" t="n"/>
      <c r="AC14" s="91" t="n"/>
      <c r="AD14" s="91" t="n"/>
      <c r="AE14" s="91" t="n"/>
      <c r="AF14" s="91" t="n"/>
      <c r="AG14" s="90" t="n"/>
      <c r="AH14" s="91" t="n"/>
      <c r="AI14" s="91" t="n"/>
      <c r="AJ14" s="91" t="n"/>
      <c r="AK14" s="91" t="n"/>
      <c r="AL14" s="91" t="n"/>
      <c r="AM14" s="84">
        <f>IF($A14="","",ROUND(DATEDIF($E14,IF($F14="",PERIODE_DATE,$F14),"m")*1.5,1))</f>
        <v/>
      </c>
      <c r="AN14" s="91" t="n"/>
      <c r="AO14" s="84">
        <f>IF($A14="","",ROUND(N(AL14)+N(AM14)-N(AN14),1))</f>
        <v/>
      </c>
      <c r="AP14" s="90" t="n"/>
      <c r="AQ14" s="90" t="n"/>
    </row>
    <row r="15" ht="15" customHeight="1" s="71">
      <c r="A15" s="91" t="n"/>
      <c r="B15" s="91" t="n"/>
      <c r="C15" s="91" t="n"/>
      <c r="D15" s="91" t="n"/>
      <c r="E15" s="90" t="n"/>
      <c r="F15" s="90" t="n"/>
      <c r="G15" s="91" t="n"/>
      <c r="H15" s="91" t="n"/>
      <c r="I15" s="93" t="n"/>
      <c r="J15" s="101" t="n"/>
      <c r="K15" s="83">
        <f>IF($A15="","",ROUND(N(I15)*N(J15),0))</f>
        <v/>
      </c>
      <c r="L15" s="83">
        <f>IF($A15="","",N(I15)-N(K15))</f>
        <v/>
      </c>
      <c r="M15" s="93" t="n"/>
      <c r="N15" s="91" t="n"/>
      <c r="O15" s="91" t="n"/>
      <c r="P15" s="91" t="n"/>
      <c r="Q15" s="91" t="n"/>
      <c r="R15" s="82">
        <f>IF(OR($A15="",E15=""),"—",IFERROR(DATEDIF(E15,PERIODE_DATE,"Y"),"—"))</f>
        <v/>
      </c>
      <c r="S15" s="92" t="n"/>
      <c r="T15" s="91" t="n"/>
      <c r="U15" s="91" t="n"/>
      <c r="V15" s="91" t="n"/>
      <c r="W15" s="90" t="n"/>
      <c r="X15" s="91" t="n"/>
      <c r="Y15" s="91" t="n"/>
      <c r="Z15" s="91" t="n"/>
      <c r="AA15" s="91" t="n"/>
      <c r="AB15" s="91" t="n"/>
      <c r="AC15" s="91" t="n"/>
      <c r="AD15" s="91" t="n"/>
      <c r="AE15" s="91" t="n"/>
      <c r="AF15" s="91" t="n"/>
      <c r="AG15" s="90" t="n"/>
      <c r="AH15" s="91" t="n"/>
      <c r="AI15" s="91" t="n"/>
      <c r="AJ15" s="91" t="n"/>
      <c r="AK15" s="91" t="n"/>
      <c r="AL15" s="91" t="n"/>
      <c r="AM15" s="84">
        <f>IF($A15="","",ROUND(DATEDIF($E15,IF($F15="",PERIODE_DATE,$F15),"m")*1.5,1))</f>
        <v/>
      </c>
      <c r="AN15" s="91" t="n"/>
      <c r="AO15" s="84">
        <f>IF($A15="","",ROUND(N(AL15)+N(AM15)-N(AN15),1))</f>
        <v/>
      </c>
      <c r="AP15" s="90" t="n"/>
      <c r="AQ15" s="90" t="n"/>
    </row>
    <row r="16" ht="15" customHeight="1" s="71">
      <c r="A16" s="91" t="n"/>
      <c r="B16" s="91" t="n"/>
      <c r="C16" s="91" t="n"/>
      <c r="D16" s="91" t="n"/>
      <c r="E16" s="90" t="n"/>
      <c r="F16" s="90" t="n"/>
      <c r="G16" s="91" t="n"/>
      <c r="H16" s="91" t="n"/>
      <c r="I16" s="93" t="n"/>
      <c r="J16" s="101" t="n"/>
      <c r="K16" s="83">
        <f>IF($A16="","",ROUND(N(I16)*N(J16),0))</f>
        <v/>
      </c>
      <c r="L16" s="83">
        <f>IF($A16="","",N(I16)-N(K16))</f>
        <v/>
      </c>
      <c r="M16" s="93" t="n"/>
      <c r="N16" s="91" t="n"/>
      <c r="O16" s="91" t="n"/>
      <c r="P16" s="91" t="n"/>
      <c r="Q16" s="91" t="n"/>
      <c r="R16" s="82">
        <f>IF(OR($A16="",E16=""),"—",IFERROR(DATEDIF(E16,PERIODE_DATE,"Y"),"—"))</f>
        <v/>
      </c>
      <c r="S16" s="92" t="n"/>
      <c r="T16" s="91" t="n"/>
      <c r="U16" s="91" t="n"/>
      <c r="V16" s="91" t="n"/>
      <c r="W16" s="90" t="n"/>
      <c r="X16" s="91" t="n"/>
      <c r="Y16" s="91" t="n"/>
      <c r="Z16" s="91" t="n"/>
      <c r="AA16" s="91" t="n"/>
      <c r="AB16" s="91" t="n"/>
      <c r="AC16" s="91" t="n"/>
      <c r="AD16" s="91" t="n"/>
      <c r="AE16" s="91" t="n"/>
      <c r="AF16" s="91" t="n"/>
      <c r="AG16" s="90" t="n"/>
      <c r="AH16" s="91" t="n"/>
      <c r="AI16" s="91" t="n"/>
      <c r="AJ16" s="91" t="n"/>
      <c r="AK16" s="91" t="n"/>
      <c r="AL16" s="91" t="n"/>
      <c r="AM16" s="84">
        <f>IF($A16="","",ROUND(DATEDIF($E16,IF($F16="",PERIODE_DATE,$F16),"m")*1.5,1))</f>
        <v/>
      </c>
      <c r="AN16" s="91" t="n"/>
      <c r="AO16" s="84">
        <f>IF($A16="","",ROUND(N(AL16)+N(AM16)-N(AN16),1))</f>
        <v/>
      </c>
      <c r="AP16" s="90" t="n"/>
      <c r="AQ16" s="90" t="n"/>
    </row>
    <row r="17" ht="15" customHeight="1" s="71">
      <c r="A17" s="91" t="n"/>
      <c r="B17" s="91" t="n"/>
      <c r="C17" s="91" t="n"/>
      <c r="D17" s="91" t="n"/>
      <c r="E17" s="90" t="n"/>
      <c r="F17" s="90" t="n"/>
      <c r="G17" s="91" t="n"/>
      <c r="H17" s="91" t="n"/>
      <c r="I17" s="93" t="n"/>
      <c r="J17" s="101" t="n"/>
      <c r="K17" s="83">
        <f>IF($A17="","",ROUND(N(I17)*N(J17),0))</f>
        <v/>
      </c>
      <c r="L17" s="83">
        <f>IF($A17="","",N(I17)-N(K17))</f>
        <v/>
      </c>
      <c r="M17" s="93" t="n"/>
      <c r="N17" s="91" t="n"/>
      <c r="O17" s="91" t="n"/>
      <c r="P17" s="91" t="n"/>
      <c r="Q17" s="91" t="n"/>
      <c r="R17" s="82">
        <f>IF(OR($A17="",E17=""),"—",IFERROR(DATEDIF(E17,PERIODE_DATE,"Y"),"—"))</f>
        <v/>
      </c>
      <c r="S17" s="92" t="n"/>
      <c r="T17" s="91" t="n"/>
      <c r="U17" s="91" t="n"/>
      <c r="V17" s="91" t="n"/>
      <c r="W17" s="90" t="n"/>
      <c r="X17" s="91" t="n"/>
      <c r="Y17" s="91" t="n"/>
      <c r="Z17" s="91" t="n"/>
      <c r="AA17" s="91" t="n"/>
      <c r="AB17" s="91" t="n"/>
      <c r="AC17" s="91" t="n"/>
      <c r="AD17" s="91" t="n"/>
      <c r="AE17" s="91" t="n"/>
      <c r="AF17" s="91" t="n"/>
      <c r="AG17" s="90" t="n"/>
      <c r="AH17" s="91" t="n"/>
      <c r="AI17" s="91" t="n"/>
      <c r="AJ17" s="91" t="n"/>
      <c r="AK17" s="91" t="n"/>
      <c r="AL17" s="91" t="n"/>
      <c r="AM17" s="84">
        <f>IF($A17="","",ROUND(DATEDIF($E17,IF($F17="",PERIODE_DATE,$F17),"m")*1.5,1))</f>
        <v/>
      </c>
      <c r="AN17" s="91" t="n"/>
      <c r="AO17" s="84">
        <f>IF($A17="","",ROUND(N(AL17)+N(AM17)-N(AN17),1))</f>
        <v/>
      </c>
      <c r="AP17" s="90" t="n"/>
      <c r="AQ17" s="90" t="n"/>
    </row>
    <row r="18" ht="15" customHeight="1" s="71">
      <c r="A18" s="91" t="n"/>
      <c r="B18" s="91" t="n"/>
      <c r="C18" s="91" t="n"/>
      <c r="D18" s="91" t="n"/>
      <c r="E18" s="90" t="n"/>
      <c r="F18" s="90" t="n"/>
      <c r="G18" s="91" t="n"/>
      <c r="H18" s="91" t="n"/>
      <c r="I18" s="93" t="n"/>
      <c r="J18" s="101" t="n"/>
      <c r="K18" s="83">
        <f>IF($A18="","",ROUND(N(I18)*N(J18),0))</f>
        <v/>
      </c>
      <c r="L18" s="83">
        <f>IF($A18="","",N(I18)-N(K18))</f>
        <v/>
      </c>
      <c r="M18" s="93" t="n"/>
      <c r="N18" s="91" t="n"/>
      <c r="O18" s="91" t="n"/>
      <c r="P18" s="91" t="n"/>
      <c r="Q18" s="91" t="n"/>
      <c r="R18" s="82">
        <f>IF(OR($A18="",E18=""),"—",IFERROR(DATEDIF(E18,PERIODE_DATE,"Y"),"—"))</f>
        <v/>
      </c>
      <c r="S18" s="92" t="n"/>
      <c r="T18" s="91" t="n"/>
      <c r="U18" s="91" t="n"/>
      <c r="V18" s="91" t="n"/>
      <c r="W18" s="90" t="n"/>
      <c r="X18" s="91" t="n"/>
      <c r="Y18" s="91" t="n"/>
      <c r="Z18" s="91" t="n"/>
      <c r="AA18" s="91" t="n"/>
      <c r="AB18" s="91" t="n"/>
      <c r="AC18" s="91" t="n"/>
      <c r="AD18" s="91" t="n"/>
      <c r="AE18" s="91" t="n"/>
      <c r="AF18" s="91" t="n"/>
      <c r="AG18" s="90" t="n"/>
      <c r="AH18" s="91" t="n"/>
      <c r="AI18" s="91" t="n"/>
      <c r="AJ18" s="91" t="n"/>
      <c r="AK18" s="91" t="n"/>
      <c r="AL18" s="91" t="n"/>
      <c r="AM18" s="84">
        <f>IF($A18="","",ROUND(DATEDIF($E18,IF($F18="",PERIODE_DATE,$F18),"m")*1.5,1))</f>
        <v/>
      </c>
      <c r="AN18" s="91" t="n"/>
      <c r="AO18" s="84">
        <f>IF($A18="","",ROUND(N(AL18)+N(AM18)-N(AN18),1))</f>
        <v/>
      </c>
      <c r="AP18" s="90" t="n"/>
      <c r="AQ18" s="90" t="n"/>
    </row>
    <row r="19" ht="15" customHeight="1" s="71">
      <c r="A19" s="91" t="n"/>
      <c r="B19" s="91" t="n"/>
      <c r="C19" s="91" t="n"/>
      <c r="D19" s="91" t="n"/>
      <c r="E19" s="90" t="n"/>
      <c r="F19" s="90" t="n"/>
      <c r="G19" s="91" t="n"/>
      <c r="H19" s="91" t="n"/>
      <c r="I19" s="93" t="n"/>
      <c r="J19" s="101" t="n"/>
      <c r="K19" s="83">
        <f>IF($A19="","",ROUND(N(I19)*N(J19),0))</f>
        <v/>
      </c>
      <c r="L19" s="83">
        <f>IF($A19="","",N(I19)-N(K19))</f>
        <v/>
      </c>
      <c r="M19" s="93" t="n"/>
      <c r="N19" s="91" t="n"/>
      <c r="O19" s="91" t="n"/>
      <c r="P19" s="91" t="n"/>
      <c r="Q19" s="91" t="n"/>
      <c r="R19" s="82">
        <f>IF(OR($A19="",E19=""),"—",IFERROR(DATEDIF(E19,PERIODE_DATE,"Y"),"—"))</f>
        <v/>
      </c>
      <c r="S19" s="92" t="n"/>
      <c r="T19" s="91" t="n"/>
      <c r="U19" s="91" t="n"/>
      <c r="V19" s="91" t="n"/>
      <c r="W19" s="90" t="n"/>
      <c r="X19" s="91" t="n"/>
      <c r="Y19" s="91" t="n"/>
      <c r="Z19" s="91" t="n"/>
      <c r="AA19" s="91" t="n"/>
      <c r="AB19" s="91" t="n"/>
      <c r="AC19" s="91" t="n"/>
      <c r="AD19" s="91" t="n"/>
      <c r="AE19" s="91" t="n"/>
      <c r="AF19" s="91" t="n"/>
      <c r="AG19" s="90" t="n"/>
      <c r="AH19" s="91" t="n"/>
      <c r="AI19" s="91" t="n"/>
      <c r="AJ19" s="91" t="n"/>
      <c r="AK19" s="91" t="n"/>
      <c r="AL19" s="91" t="n"/>
      <c r="AM19" s="84">
        <f>IF($A19="","",ROUND(DATEDIF($E19,IF($F19="",PERIODE_DATE,$F19),"m")*1.5,1))</f>
        <v/>
      </c>
      <c r="AN19" s="91" t="n"/>
      <c r="AO19" s="84">
        <f>IF($A19="","",ROUND(N(AL19)+N(AM19)-N(AN19),1))</f>
        <v/>
      </c>
      <c r="AP19" s="90" t="n"/>
      <c r="AQ19" s="90" t="n"/>
    </row>
    <row r="20" ht="15" customHeight="1" s="71">
      <c r="A20" s="91" t="n"/>
      <c r="B20" s="91" t="n"/>
      <c r="C20" s="91" t="n"/>
      <c r="D20" s="91" t="n"/>
      <c r="E20" s="90" t="n"/>
      <c r="F20" s="90" t="n"/>
      <c r="G20" s="91" t="n"/>
      <c r="H20" s="91" t="n"/>
      <c r="I20" s="93" t="n"/>
      <c r="J20" s="101" t="n"/>
      <c r="K20" s="83">
        <f>IF($A20="","",ROUND(N(I20)*N(J20),0))</f>
        <v/>
      </c>
      <c r="L20" s="83">
        <f>IF($A20="","",N(I20)-N(K20))</f>
        <v/>
      </c>
      <c r="M20" s="93" t="n"/>
      <c r="N20" s="91" t="n"/>
      <c r="O20" s="91" t="n"/>
      <c r="P20" s="91" t="n"/>
      <c r="Q20" s="91" t="n"/>
      <c r="R20" s="82">
        <f>IF(OR($A20="",E20=""),"—",IFERROR(DATEDIF(E20,PERIODE_DATE,"Y"),"—"))</f>
        <v/>
      </c>
      <c r="S20" s="92" t="n"/>
      <c r="T20" s="91" t="n"/>
      <c r="U20" s="91" t="n"/>
      <c r="V20" s="91" t="n"/>
      <c r="W20" s="90" t="n"/>
      <c r="X20" s="91" t="n"/>
      <c r="Y20" s="91" t="n"/>
      <c r="Z20" s="91" t="n"/>
      <c r="AA20" s="91" t="n"/>
      <c r="AB20" s="91" t="n"/>
      <c r="AC20" s="91" t="n"/>
      <c r="AD20" s="91" t="n"/>
      <c r="AE20" s="91" t="n"/>
      <c r="AF20" s="91" t="n"/>
      <c r="AG20" s="90" t="n"/>
      <c r="AH20" s="91" t="n"/>
      <c r="AI20" s="91" t="n"/>
      <c r="AJ20" s="91" t="n"/>
      <c r="AK20" s="91" t="n"/>
      <c r="AL20" s="91" t="n"/>
      <c r="AM20" s="84">
        <f>IF($A20="","",ROUND(DATEDIF($E20,IF($F20="",PERIODE_DATE,$F20),"m")*1.5,1))</f>
        <v/>
      </c>
      <c r="AN20" s="91" t="n"/>
      <c r="AO20" s="84">
        <f>IF($A20="","",ROUND(N(AL20)+N(AM20)-N(AN20),1))</f>
        <v/>
      </c>
      <c r="AP20" s="90" t="n"/>
      <c r="AQ20" s="90" t="n"/>
    </row>
    <row r="21" ht="15" customHeight="1" s="71">
      <c r="A21" s="91" t="n"/>
      <c r="B21" s="91" t="n"/>
      <c r="C21" s="91" t="n"/>
      <c r="D21" s="91" t="n"/>
      <c r="E21" s="90" t="n"/>
      <c r="F21" s="90" t="n"/>
      <c r="G21" s="91" t="n"/>
      <c r="H21" s="91" t="n"/>
      <c r="I21" s="93" t="n"/>
      <c r="J21" s="101" t="n"/>
      <c r="K21" s="83">
        <f>IF($A21="","",ROUND(N(I21)*N(J21),0))</f>
        <v/>
      </c>
      <c r="L21" s="83">
        <f>IF($A21="","",N(I21)-N(K21))</f>
        <v/>
      </c>
      <c r="M21" s="93" t="n"/>
      <c r="N21" s="91" t="n"/>
      <c r="O21" s="91" t="n"/>
      <c r="P21" s="91" t="n"/>
      <c r="Q21" s="91" t="n"/>
      <c r="R21" s="82">
        <f>IF(OR($A21="",E21=""),"—",IFERROR(DATEDIF(E21,PERIODE_DATE,"Y"),"—"))</f>
        <v/>
      </c>
      <c r="S21" s="92" t="n"/>
      <c r="T21" s="91" t="n"/>
      <c r="U21" s="91" t="n"/>
      <c r="V21" s="91" t="n"/>
      <c r="W21" s="90" t="n"/>
      <c r="X21" s="91" t="n"/>
      <c r="Y21" s="91" t="n"/>
      <c r="Z21" s="91" t="n"/>
      <c r="AA21" s="91" t="n"/>
      <c r="AB21" s="91" t="n"/>
      <c r="AC21" s="91" t="n"/>
      <c r="AD21" s="91" t="n"/>
      <c r="AE21" s="91" t="n"/>
      <c r="AF21" s="91" t="n"/>
      <c r="AG21" s="90" t="n"/>
      <c r="AH21" s="91" t="n"/>
      <c r="AI21" s="91" t="n"/>
      <c r="AJ21" s="91" t="n"/>
      <c r="AK21" s="91" t="n"/>
      <c r="AL21" s="91" t="n"/>
      <c r="AM21" s="84">
        <f>IF($A21="","",ROUND(DATEDIF($E21,IF($F21="",PERIODE_DATE,$F21),"m")*1.5,1))</f>
        <v/>
      </c>
      <c r="AN21" s="91" t="n"/>
      <c r="AO21" s="84">
        <f>IF($A21="","",ROUND(N(AL21)+N(AM21)-N(AN21),1))</f>
        <v/>
      </c>
      <c r="AP21" s="90" t="n"/>
      <c r="AQ21" s="90" t="n"/>
    </row>
    <row r="22" ht="15" customHeight="1" s="71">
      <c r="A22" s="91" t="n"/>
      <c r="B22" s="91" t="n"/>
      <c r="C22" s="91" t="n"/>
      <c r="D22" s="91" t="n"/>
      <c r="E22" s="90" t="n"/>
      <c r="F22" s="90" t="n"/>
      <c r="G22" s="91" t="n"/>
      <c r="H22" s="91" t="n"/>
      <c r="I22" s="93" t="n"/>
      <c r="J22" s="101" t="n"/>
      <c r="K22" s="83">
        <f>IF($A22="","",ROUND(N(I22)*N(J22),0))</f>
        <v/>
      </c>
      <c r="L22" s="83">
        <f>IF($A22="","",N(I22)-N(K22))</f>
        <v/>
      </c>
      <c r="M22" s="93" t="n"/>
      <c r="N22" s="91" t="n"/>
      <c r="O22" s="91" t="n"/>
      <c r="P22" s="91" t="n"/>
      <c r="Q22" s="91" t="n"/>
      <c r="R22" s="82">
        <f>IF(OR($A22="",E22=""),"—",IFERROR(DATEDIF(E22,PERIODE_DATE,"Y"),"—"))</f>
        <v/>
      </c>
      <c r="S22" s="92" t="n"/>
      <c r="T22" s="91" t="n"/>
      <c r="U22" s="91" t="n"/>
      <c r="V22" s="91" t="n"/>
      <c r="W22" s="90" t="n"/>
      <c r="X22" s="91" t="n"/>
      <c r="Y22" s="91" t="n"/>
      <c r="Z22" s="91" t="n"/>
      <c r="AA22" s="91" t="n"/>
      <c r="AB22" s="91" t="n"/>
      <c r="AC22" s="91" t="n"/>
      <c r="AD22" s="91" t="n"/>
      <c r="AE22" s="91" t="n"/>
      <c r="AF22" s="91" t="n"/>
      <c r="AG22" s="90" t="n"/>
      <c r="AH22" s="91" t="n"/>
      <c r="AI22" s="91" t="n"/>
      <c r="AJ22" s="91" t="n"/>
      <c r="AK22" s="91" t="n"/>
      <c r="AL22" s="91" t="n"/>
      <c r="AM22" s="84">
        <f>IF($A22="","",ROUND(DATEDIF($E22,IF($F22="",PERIODE_DATE,$F22),"m")*1.5,1))</f>
        <v/>
      </c>
      <c r="AN22" s="91" t="n"/>
      <c r="AO22" s="84">
        <f>IF($A22="","",ROUND(N(AL22)+N(AM22)-N(AN22),1))</f>
        <v/>
      </c>
      <c r="AP22" s="90" t="n"/>
      <c r="AQ22" s="90" t="n"/>
    </row>
    <row r="23" ht="15" customHeight="1" s="71">
      <c r="A23" s="91" t="n"/>
      <c r="B23" s="91" t="n"/>
      <c r="C23" s="91" t="n"/>
      <c r="D23" s="91" t="n"/>
      <c r="E23" s="90" t="n"/>
      <c r="F23" s="90" t="n"/>
      <c r="G23" s="91" t="n"/>
      <c r="H23" s="91" t="n"/>
      <c r="I23" s="93" t="n"/>
      <c r="J23" s="101" t="n"/>
      <c r="K23" s="83">
        <f>IF($A23="","",ROUND(N(I23)*N(J23),0))</f>
        <v/>
      </c>
      <c r="L23" s="83">
        <f>IF($A23="","",N(I23)-N(K23))</f>
        <v/>
      </c>
      <c r="M23" s="93" t="n"/>
      <c r="N23" s="91" t="n"/>
      <c r="O23" s="91" t="n"/>
      <c r="P23" s="91" t="n"/>
      <c r="Q23" s="91" t="n"/>
      <c r="R23" s="82">
        <f>IF(OR($A23="",E23=""),"—",IFERROR(DATEDIF(E23,PERIODE_DATE,"Y"),"—"))</f>
        <v/>
      </c>
      <c r="S23" s="92" t="n"/>
      <c r="T23" s="91" t="n"/>
      <c r="U23" s="91" t="n"/>
      <c r="V23" s="91" t="n"/>
      <c r="W23" s="90" t="n"/>
      <c r="X23" s="91" t="n"/>
      <c r="Y23" s="91" t="n"/>
      <c r="Z23" s="91" t="n"/>
      <c r="AA23" s="91" t="n"/>
      <c r="AB23" s="91" t="n"/>
      <c r="AC23" s="91" t="n"/>
      <c r="AD23" s="91" t="n"/>
      <c r="AE23" s="91" t="n"/>
      <c r="AF23" s="91" t="n"/>
      <c r="AG23" s="90" t="n"/>
      <c r="AH23" s="91" t="n"/>
      <c r="AI23" s="91" t="n"/>
      <c r="AJ23" s="91" t="n"/>
      <c r="AK23" s="91" t="n"/>
      <c r="AL23" s="91" t="n"/>
      <c r="AM23" s="84">
        <f>IF($A23="","",ROUND(DATEDIF($E23,IF($F23="",PERIODE_DATE,$F23),"m")*1.5,1))</f>
        <v/>
      </c>
      <c r="AN23" s="91" t="n"/>
      <c r="AO23" s="84">
        <f>IF($A23="","",ROUND(N(AL23)+N(AM23)-N(AN23),1))</f>
        <v/>
      </c>
      <c r="AP23" s="90" t="n"/>
      <c r="AQ23" s="90" t="n"/>
    </row>
    <row r="24" ht="15" customHeight="1" s="71">
      <c r="A24" s="91" t="n"/>
      <c r="B24" s="91" t="n"/>
      <c r="C24" s="91" t="n"/>
      <c r="D24" s="91" t="n"/>
      <c r="E24" s="90" t="n"/>
      <c r="F24" s="90" t="n"/>
      <c r="G24" s="91" t="n"/>
      <c r="H24" s="91" t="n"/>
      <c r="I24" s="93" t="n"/>
      <c r="J24" s="101" t="n"/>
      <c r="K24" s="83">
        <f>IF($A24="","",ROUND(N(I24)*N(J24),0))</f>
        <v/>
      </c>
      <c r="L24" s="83">
        <f>IF($A24="","",N(I24)-N(K24))</f>
        <v/>
      </c>
      <c r="M24" s="93" t="n"/>
      <c r="N24" s="91" t="n"/>
      <c r="O24" s="91" t="n"/>
      <c r="P24" s="91" t="n"/>
      <c r="Q24" s="91" t="n"/>
      <c r="R24" s="82">
        <f>IF(OR($A24="",E24=""),"—",IFERROR(DATEDIF(E24,PERIODE_DATE,"Y"),"—"))</f>
        <v/>
      </c>
      <c r="S24" s="92" t="n"/>
      <c r="T24" s="91" t="n"/>
      <c r="U24" s="91" t="n"/>
      <c r="V24" s="91" t="n"/>
      <c r="W24" s="90" t="n"/>
      <c r="X24" s="91" t="n"/>
      <c r="Y24" s="91" t="n"/>
      <c r="Z24" s="91" t="n"/>
      <c r="AA24" s="91" t="n"/>
      <c r="AB24" s="91" t="n"/>
      <c r="AC24" s="91" t="n"/>
      <c r="AD24" s="91" t="n"/>
      <c r="AE24" s="91" t="n"/>
      <c r="AF24" s="91" t="n"/>
      <c r="AG24" s="90" t="n"/>
      <c r="AH24" s="91" t="n"/>
      <c r="AI24" s="91" t="n"/>
      <c r="AJ24" s="91" t="n"/>
      <c r="AK24" s="91" t="n"/>
      <c r="AL24" s="91" t="n"/>
      <c r="AM24" s="84">
        <f>IF($A24="","",ROUND(DATEDIF($E24,IF($F24="",PERIODE_DATE,$F24),"m")*1.5,1))</f>
        <v/>
      </c>
      <c r="AN24" s="91" t="n"/>
      <c r="AO24" s="84">
        <f>IF($A24="","",ROUND(N(AL24)+N(AM24)-N(AN24),1))</f>
        <v/>
      </c>
      <c r="AP24" s="90" t="n"/>
      <c r="AQ24" s="90" t="n"/>
    </row>
    <row r="25" ht="15" customHeight="1" s="71">
      <c r="A25" s="91" t="n"/>
      <c r="B25" s="91" t="n"/>
      <c r="C25" s="91" t="n"/>
      <c r="D25" s="91" t="n"/>
      <c r="E25" s="90" t="n"/>
      <c r="F25" s="90" t="n"/>
      <c r="G25" s="91" t="n"/>
      <c r="H25" s="91" t="n"/>
      <c r="I25" s="93" t="n"/>
      <c r="J25" s="101" t="n"/>
      <c r="K25" s="83">
        <f>IF($A25="","",ROUND(N(I25)*N(J25),0))</f>
        <v/>
      </c>
      <c r="L25" s="83">
        <f>IF($A25="","",N(I25)-N(K25))</f>
        <v/>
      </c>
      <c r="M25" s="93" t="n"/>
      <c r="N25" s="91" t="n"/>
      <c r="O25" s="91" t="n"/>
      <c r="P25" s="91" t="n"/>
      <c r="Q25" s="91" t="n"/>
      <c r="R25" s="82">
        <f>IF(OR($A25="",E25=""),"—",IFERROR(DATEDIF(E25,PERIODE_DATE,"Y"),"—"))</f>
        <v/>
      </c>
      <c r="S25" s="92" t="n"/>
      <c r="T25" s="91" t="n"/>
      <c r="U25" s="91" t="n"/>
      <c r="V25" s="91" t="n"/>
      <c r="W25" s="90" t="n"/>
      <c r="X25" s="91" t="n"/>
      <c r="Y25" s="91" t="n"/>
      <c r="Z25" s="91" t="n"/>
      <c r="AA25" s="91" t="n"/>
      <c r="AB25" s="91" t="n"/>
      <c r="AC25" s="91" t="n"/>
      <c r="AD25" s="91" t="n"/>
      <c r="AE25" s="91" t="n"/>
      <c r="AF25" s="91" t="n"/>
      <c r="AG25" s="90" t="n"/>
      <c r="AH25" s="91" t="n"/>
      <c r="AI25" s="91" t="n"/>
      <c r="AJ25" s="91" t="n"/>
      <c r="AK25" s="91" t="n"/>
      <c r="AL25" s="91" t="n"/>
      <c r="AM25" s="84">
        <f>IF($A25="","",ROUND(DATEDIF($E25,IF($F25="",PERIODE_DATE,$F25),"m")*1.5,1))</f>
        <v/>
      </c>
      <c r="AN25" s="91" t="n"/>
      <c r="AO25" s="84">
        <f>IF($A25="","",ROUND(N(AL25)+N(AM25)-N(AN25),1))</f>
        <v/>
      </c>
      <c r="AP25" s="90" t="n"/>
      <c r="AQ25" s="90" t="n"/>
    </row>
    <row r="26" ht="15" customHeight="1" s="71">
      <c r="A26" s="91" t="n"/>
      <c r="B26" s="91" t="n"/>
      <c r="C26" s="91" t="n"/>
      <c r="D26" s="91" t="n"/>
      <c r="E26" s="90" t="n"/>
      <c r="F26" s="90" t="n"/>
      <c r="G26" s="91" t="n"/>
      <c r="H26" s="91" t="n"/>
      <c r="I26" s="93" t="n"/>
      <c r="J26" s="101" t="n"/>
      <c r="K26" s="83">
        <f>IF($A26="","",ROUND(N(I26)*N(J26),0))</f>
        <v/>
      </c>
      <c r="L26" s="83">
        <f>IF($A26="","",N(I26)-N(K26))</f>
        <v/>
      </c>
      <c r="M26" s="93" t="n"/>
      <c r="N26" s="91" t="n"/>
      <c r="O26" s="91" t="n"/>
      <c r="P26" s="91" t="n"/>
      <c r="Q26" s="91" t="n"/>
      <c r="R26" s="82">
        <f>IF(OR($A26="",E26=""),"—",IFERROR(DATEDIF(E26,PERIODE_DATE,"Y"),"—"))</f>
        <v/>
      </c>
      <c r="S26" s="92" t="n"/>
      <c r="T26" s="91" t="n"/>
      <c r="U26" s="91" t="n"/>
      <c r="V26" s="91" t="n"/>
      <c r="W26" s="90" t="n"/>
      <c r="X26" s="91" t="n"/>
      <c r="Y26" s="91" t="n"/>
      <c r="Z26" s="91" t="n"/>
      <c r="AA26" s="91" t="n"/>
      <c r="AB26" s="91" t="n"/>
      <c r="AC26" s="91" t="n"/>
      <c r="AD26" s="91" t="n"/>
      <c r="AE26" s="91" t="n"/>
      <c r="AF26" s="91" t="n"/>
      <c r="AG26" s="90" t="n"/>
      <c r="AH26" s="91" t="n"/>
      <c r="AI26" s="91" t="n"/>
      <c r="AJ26" s="91" t="n"/>
      <c r="AK26" s="91" t="n"/>
      <c r="AL26" s="91" t="n"/>
      <c r="AM26" s="84">
        <f>IF($A26="","",ROUND(DATEDIF($E26,IF($F26="",PERIODE_DATE,$F26),"m")*1.5,1))</f>
        <v/>
      </c>
      <c r="AN26" s="91" t="n"/>
      <c r="AO26" s="84">
        <f>IF($A26="","",ROUND(N(AL26)+N(AM26)-N(AN26),1))</f>
        <v/>
      </c>
      <c r="AP26" s="90" t="n"/>
      <c r="AQ26" s="90" t="n"/>
    </row>
    <row r="27" ht="15" customHeight="1" s="71">
      <c r="A27" s="91" t="n"/>
      <c r="B27" s="91" t="n"/>
      <c r="C27" s="91" t="n"/>
      <c r="D27" s="91" t="n"/>
      <c r="E27" s="90" t="n"/>
      <c r="F27" s="90" t="n"/>
      <c r="G27" s="91" t="n"/>
      <c r="H27" s="91" t="n"/>
      <c r="I27" s="93" t="n"/>
      <c r="J27" s="101" t="n"/>
      <c r="K27" s="83">
        <f>IF($A27="","",ROUND(N(I27)*N(J27),0))</f>
        <v/>
      </c>
      <c r="L27" s="83">
        <f>IF($A27="","",N(I27)-N(K27))</f>
        <v/>
      </c>
      <c r="M27" s="93" t="n"/>
      <c r="N27" s="91" t="n"/>
      <c r="O27" s="91" t="n"/>
      <c r="P27" s="91" t="n"/>
      <c r="Q27" s="91" t="n"/>
      <c r="R27" s="82">
        <f>IF(OR($A27="",E27=""),"—",IFERROR(DATEDIF(E27,PERIODE_DATE,"Y"),"—"))</f>
        <v/>
      </c>
      <c r="S27" s="92" t="n"/>
      <c r="T27" s="91" t="n"/>
      <c r="U27" s="91" t="n"/>
      <c r="V27" s="91" t="n"/>
      <c r="W27" s="90" t="n"/>
      <c r="X27" s="91" t="n"/>
      <c r="Y27" s="91" t="n"/>
      <c r="Z27" s="91" t="n"/>
      <c r="AA27" s="91" t="n"/>
      <c r="AB27" s="91" t="n"/>
      <c r="AC27" s="91" t="n"/>
      <c r="AD27" s="91" t="n"/>
      <c r="AE27" s="91" t="n"/>
      <c r="AF27" s="91" t="n"/>
      <c r="AG27" s="90" t="n"/>
      <c r="AH27" s="91" t="n"/>
      <c r="AI27" s="91" t="n"/>
      <c r="AJ27" s="91" t="n"/>
      <c r="AK27" s="91" t="n"/>
      <c r="AL27" s="91" t="n"/>
      <c r="AM27" s="84">
        <f>IF($A27="","",ROUND(DATEDIF($E27,IF($F27="",PERIODE_DATE,$F27),"m")*1.5,1))</f>
        <v/>
      </c>
      <c r="AN27" s="91" t="n"/>
      <c r="AO27" s="84">
        <f>IF($A27="","",ROUND(N(AL27)+N(AM27)-N(AN27),1))</f>
        <v/>
      </c>
      <c r="AP27" s="90" t="n"/>
      <c r="AQ27" s="90" t="n"/>
    </row>
    <row r="28" ht="15" customHeight="1" s="71">
      <c r="A28" s="91" t="n"/>
      <c r="B28" s="91" t="n"/>
      <c r="C28" s="91" t="n"/>
      <c r="D28" s="91" t="n"/>
      <c r="E28" s="90" t="n"/>
      <c r="F28" s="90" t="n"/>
      <c r="G28" s="91" t="n"/>
      <c r="H28" s="91" t="n"/>
      <c r="I28" s="93" t="n"/>
      <c r="J28" s="101" t="n"/>
      <c r="K28" s="83">
        <f>IF($A28="","",ROUND(N(I28)*N(J28),0))</f>
        <v/>
      </c>
      <c r="L28" s="83">
        <f>IF($A28="","",N(I28)-N(K28))</f>
        <v/>
      </c>
      <c r="M28" s="93" t="n"/>
      <c r="N28" s="91" t="n"/>
      <c r="O28" s="91" t="n"/>
      <c r="P28" s="91" t="n"/>
      <c r="Q28" s="91" t="n"/>
      <c r="R28" s="82">
        <f>IF(OR($A28="",E28=""),"—",IFERROR(DATEDIF(E28,PERIODE_DATE,"Y"),"—"))</f>
        <v/>
      </c>
      <c r="S28" s="92" t="n"/>
      <c r="T28" s="91" t="n"/>
      <c r="U28" s="91" t="n"/>
      <c r="V28" s="91" t="n"/>
      <c r="W28" s="90" t="n"/>
      <c r="X28" s="91" t="n"/>
      <c r="Y28" s="91" t="n"/>
      <c r="Z28" s="91" t="n"/>
      <c r="AA28" s="91" t="n"/>
      <c r="AB28" s="91" t="n"/>
      <c r="AC28" s="91" t="n"/>
      <c r="AD28" s="91" t="n"/>
      <c r="AE28" s="91" t="n"/>
      <c r="AF28" s="91" t="n"/>
      <c r="AG28" s="90" t="n"/>
      <c r="AH28" s="91" t="n"/>
      <c r="AI28" s="91" t="n"/>
      <c r="AJ28" s="91" t="n"/>
      <c r="AK28" s="91" t="n"/>
      <c r="AL28" s="91" t="n"/>
      <c r="AM28" s="84">
        <f>IF($A28="","",ROUND(DATEDIF($E28,IF($F28="",PERIODE_DATE,$F28),"m")*1.5,1))</f>
        <v/>
      </c>
      <c r="AN28" s="91" t="n"/>
      <c r="AO28" s="84">
        <f>IF($A28="","",ROUND(N(AL28)+N(AM28)-N(AN28),1))</f>
        <v/>
      </c>
      <c r="AP28" s="90" t="n"/>
      <c r="AQ28" s="90" t="n"/>
    </row>
    <row r="29" ht="15" customHeight="1" s="71">
      <c r="A29" s="91" t="n"/>
      <c r="B29" s="91" t="n"/>
      <c r="C29" s="91" t="n"/>
      <c r="D29" s="91" t="n"/>
      <c r="E29" s="90" t="n"/>
      <c r="F29" s="90" t="n"/>
      <c r="G29" s="91" t="n"/>
      <c r="H29" s="91" t="n"/>
      <c r="I29" s="93" t="n"/>
      <c r="J29" s="101" t="n"/>
      <c r="K29" s="83">
        <f>IF($A29="","",ROUND(N(I29)*N(J29),0))</f>
        <v/>
      </c>
      <c r="L29" s="83">
        <f>IF($A29="","",N(I29)-N(K29))</f>
        <v/>
      </c>
      <c r="M29" s="93" t="n"/>
      <c r="N29" s="91" t="n"/>
      <c r="O29" s="91" t="n"/>
      <c r="P29" s="91" t="n"/>
      <c r="Q29" s="91" t="n"/>
      <c r="R29" s="82">
        <f>IF(OR($A29="",E29=""),"—",IFERROR(DATEDIF(E29,PERIODE_DATE,"Y"),"—"))</f>
        <v/>
      </c>
      <c r="S29" s="92" t="n"/>
      <c r="T29" s="91" t="n"/>
      <c r="U29" s="91" t="n"/>
      <c r="V29" s="91" t="n"/>
      <c r="W29" s="90" t="n"/>
      <c r="X29" s="91" t="n"/>
      <c r="Y29" s="91" t="n"/>
      <c r="Z29" s="91" t="n"/>
      <c r="AA29" s="91" t="n"/>
      <c r="AB29" s="91" t="n"/>
      <c r="AC29" s="91" t="n"/>
      <c r="AD29" s="91" t="n"/>
      <c r="AE29" s="91" t="n"/>
      <c r="AF29" s="91" t="n"/>
      <c r="AG29" s="90" t="n"/>
      <c r="AH29" s="91" t="n"/>
      <c r="AI29" s="91" t="n"/>
      <c r="AJ29" s="91" t="n"/>
      <c r="AK29" s="91" t="n"/>
      <c r="AL29" s="91" t="n"/>
      <c r="AM29" s="84">
        <f>IF($A29="","",ROUND(DATEDIF($E29,IF($F29="",PERIODE_DATE,$F29),"m")*1.5,1))</f>
        <v/>
      </c>
      <c r="AN29" s="91" t="n"/>
      <c r="AO29" s="84">
        <f>IF($A29="","",ROUND(N(AL29)+N(AM29)-N(AN29),1))</f>
        <v/>
      </c>
      <c r="AP29" s="90" t="n"/>
      <c r="AQ29" s="90" t="n"/>
    </row>
    <row r="30" ht="15" customHeight="1" s="71">
      <c r="A30" s="91" t="n"/>
      <c r="B30" s="91" t="n"/>
      <c r="C30" s="91" t="n"/>
      <c r="D30" s="91" t="n"/>
      <c r="E30" s="90" t="n"/>
      <c r="F30" s="90" t="n"/>
      <c r="G30" s="91" t="n"/>
      <c r="H30" s="91" t="n"/>
      <c r="I30" s="93" t="n"/>
      <c r="J30" s="101" t="n"/>
      <c r="K30" s="83">
        <f>IF($A30="","",ROUND(N(I30)*N(J30),0))</f>
        <v/>
      </c>
      <c r="L30" s="83">
        <f>IF($A30="","",N(I30)-N(K30))</f>
        <v/>
      </c>
      <c r="M30" s="93" t="n"/>
      <c r="N30" s="91" t="n"/>
      <c r="O30" s="91" t="n"/>
      <c r="P30" s="91" t="n"/>
      <c r="Q30" s="91" t="n"/>
      <c r="R30" s="82">
        <f>IF(OR($A30="",E30=""),"—",IFERROR(DATEDIF(E30,PERIODE_DATE,"Y"),"—"))</f>
        <v/>
      </c>
      <c r="S30" s="92" t="n"/>
      <c r="T30" s="91" t="n"/>
      <c r="U30" s="91" t="n"/>
      <c r="V30" s="91" t="n"/>
      <c r="W30" s="90" t="n"/>
      <c r="X30" s="91" t="n"/>
      <c r="Y30" s="91" t="n"/>
      <c r="Z30" s="91" t="n"/>
      <c r="AA30" s="91" t="n"/>
      <c r="AB30" s="91" t="n"/>
      <c r="AC30" s="91" t="n"/>
      <c r="AD30" s="91" t="n"/>
      <c r="AE30" s="91" t="n"/>
      <c r="AF30" s="91" t="n"/>
      <c r="AG30" s="90" t="n"/>
      <c r="AH30" s="91" t="n"/>
      <c r="AI30" s="91" t="n"/>
      <c r="AJ30" s="91" t="n"/>
      <c r="AK30" s="91" t="n"/>
      <c r="AL30" s="91" t="n"/>
      <c r="AM30" s="84">
        <f>IF($A30="","",ROUND(DATEDIF($E30,IF($F30="",PERIODE_DATE,$F30),"m")*1.5,1))</f>
        <v/>
      </c>
      <c r="AN30" s="91" t="n"/>
      <c r="AO30" s="84">
        <f>IF($A30="","",ROUND(N(AL30)+N(AM30)-N(AN30),1))</f>
        <v/>
      </c>
      <c r="AP30" s="90" t="n"/>
      <c r="AQ30" s="90" t="n"/>
    </row>
    <row r="31" ht="15" customHeight="1" s="71">
      <c r="A31" s="91" t="n"/>
      <c r="B31" s="91" t="n"/>
      <c r="C31" s="91" t="n"/>
      <c r="D31" s="91" t="n"/>
      <c r="E31" s="90" t="n"/>
      <c r="F31" s="90" t="n"/>
      <c r="G31" s="91" t="n"/>
      <c r="H31" s="91" t="n"/>
      <c r="I31" s="93" t="n"/>
      <c r="J31" s="101" t="n"/>
      <c r="K31" s="83">
        <f>IF($A31="","",ROUND(N(I31)*N(J31),0))</f>
        <v/>
      </c>
      <c r="L31" s="83">
        <f>IF($A31="","",N(I31)-N(K31))</f>
        <v/>
      </c>
      <c r="M31" s="93" t="n"/>
      <c r="N31" s="91" t="n"/>
      <c r="O31" s="91" t="n"/>
      <c r="P31" s="91" t="n"/>
      <c r="Q31" s="91" t="n"/>
      <c r="R31" s="82">
        <f>IF(OR($A31="",E31=""),"—",IFERROR(DATEDIF(E31,PERIODE_DATE,"Y"),"—"))</f>
        <v/>
      </c>
      <c r="S31" s="92" t="n"/>
      <c r="T31" s="91" t="n"/>
      <c r="U31" s="91" t="n"/>
      <c r="V31" s="91" t="n"/>
      <c r="W31" s="90" t="n"/>
      <c r="X31" s="91" t="n"/>
      <c r="Y31" s="91" t="n"/>
      <c r="Z31" s="91" t="n"/>
      <c r="AA31" s="91" t="n"/>
      <c r="AB31" s="91" t="n"/>
      <c r="AC31" s="91" t="n"/>
      <c r="AD31" s="91" t="n"/>
      <c r="AE31" s="91" t="n"/>
      <c r="AF31" s="91" t="n"/>
      <c r="AG31" s="90" t="n"/>
      <c r="AH31" s="91" t="n"/>
      <c r="AI31" s="91" t="n"/>
      <c r="AJ31" s="91" t="n"/>
      <c r="AK31" s="91" t="n"/>
      <c r="AL31" s="91" t="n"/>
      <c r="AM31" s="84">
        <f>IF($A31="","",ROUND(DATEDIF($E31,IF($F31="",PERIODE_DATE,$F31),"m")*1.5,1))</f>
        <v/>
      </c>
      <c r="AN31" s="91" t="n"/>
      <c r="AO31" s="84">
        <f>IF($A31="","",ROUND(N(AL31)+N(AM31)-N(AN31),1))</f>
        <v/>
      </c>
      <c r="AP31" s="90" t="n"/>
      <c r="AQ31" s="90" t="n"/>
    </row>
    <row r="32" ht="15" customHeight="1" s="71">
      <c r="A32" s="91" t="n"/>
      <c r="B32" s="91" t="n"/>
      <c r="C32" s="91" t="n"/>
      <c r="D32" s="91" t="n"/>
      <c r="E32" s="90" t="n"/>
      <c r="F32" s="90" t="n"/>
      <c r="G32" s="91" t="n"/>
      <c r="H32" s="91" t="n"/>
      <c r="I32" s="93" t="n"/>
      <c r="J32" s="101" t="n"/>
      <c r="K32" s="83">
        <f>IF($A32="","",ROUND(N(I32)*N(J32),0))</f>
        <v/>
      </c>
      <c r="L32" s="83">
        <f>IF($A32="","",N(I32)-N(K32))</f>
        <v/>
      </c>
      <c r="M32" s="93" t="n"/>
      <c r="N32" s="91" t="n"/>
      <c r="O32" s="91" t="n"/>
      <c r="P32" s="91" t="n"/>
      <c r="Q32" s="91" t="n"/>
      <c r="R32" s="82">
        <f>IF(OR($A32="",E32=""),"—",IFERROR(DATEDIF(E32,PERIODE_DATE,"Y"),"—"))</f>
        <v/>
      </c>
      <c r="S32" s="92" t="n"/>
      <c r="T32" s="91" t="n"/>
      <c r="U32" s="91" t="n"/>
      <c r="V32" s="91" t="n"/>
      <c r="W32" s="90" t="n"/>
      <c r="X32" s="91" t="n"/>
      <c r="Y32" s="91" t="n"/>
      <c r="Z32" s="91" t="n"/>
      <c r="AA32" s="91" t="n"/>
      <c r="AB32" s="91" t="n"/>
      <c r="AC32" s="91" t="n"/>
      <c r="AD32" s="91" t="n"/>
      <c r="AE32" s="91" t="n"/>
      <c r="AF32" s="91" t="n"/>
      <c r="AG32" s="90" t="n"/>
      <c r="AH32" s="91" t="n"/>
      <c r="AI32" s="91" t="n"/>
      <c r="AJ32" s="91" t="n"/>
      <c r="AK32" s="91" t="n"/>
      <c r="AL32" s="91" t="n"/>
      <c r="AM32" s="84">
        <f>IF($A32="","",ROUND(DATEDIF($E32,IF($F32="",PERIODE_DATE,$F32),"m")*1.5,1))</f>
        <v/>
      </c>
      <c r="AN32" s="91" t="n"/>
      <c r="AO32" s="84">
        <f>IF($A32="","",ROUND(N(AL32)+N(AM32)-N(AN32),1))</f>
        <v/>
      </c>
      <c r="AP32" s="90" t="n"/>
      <c r="AQ32" s="90" t="n"/>
    </row>
    <row r="33" ht="15" customHeight="1" s="71">
      <c r="A33" s="91" t="n"/>
      <c r="B33" s="91" t="n"/>
      <c r="C33" s="91" t="n"/>
      <c r="D33" s="91" t="n"/>
      <c r="E33" s="90" t="n"/>
      <c r="F33" s="90" t="n"/>
      <c r="G33" s="91" t="n"/>
      <c r="H33" s="91" t="n"/>
      <c r="I33" s="93" t="n"/>
      <c r="J33" s="101" t="n"/>
      <c r="K33" s="83">
        <f>IF($A33="","",ROUND(N(I33)*N(J33),0))</f>
        <v/>
      </c>
      <c r="L33" s="83">
        <f>IF($A33="","",N(I33)-N(K33))</f>
        <v/>
      </c>
      <c r="M33" s="93" t="n"/>
      <c r="N33" s="91" t="n"/>
      <c r="O33" s="91" t="n"/>
      <c r="P33" s="91" t="n"/>
      <c r="Q33" s="91" t="n"/>
      <c r="R33" s="82">
        <f>IF(OR($A33="",E33=""),"—",IFERROR(DATEDIF(E33,PERIODE_DATE,"Y"),"—"))</f>
        <v/>
      </c>
      <c r="S33" s="92" t="n"/>
      <c r="T33" s="91" t="n"/>
      <c r="U33" s="91" t="n"/>
      <c r="V33" s="91" t="n"/>
      <c r="W33" s="90" t="n"/>
      <c r="X33" s="91" t="n"/>
      <c r="Y33" s="91" t="n"/>
      <c r="Z33" s="91" t="n"/>
      <c r="AA33" s="91" t="n"/>
      <c r="AB33" s="91" t="n"/>
      <c r="AC33" s="91" t="n"/>
      <c r="AD33" s="91" t="n"/>
      <c r="AE33" s="91" t="n"/>
      <c r="AF33" s="91" t="n"/>
      <c r="AG33" s="90" t="n"/>
      <c r="AH33" s="91" t="n"/>
      <c r="AI33" s="91" t="n"/>
      <c r="AJ33" s="91" t="n"/>
      <c r="AK33" s="91" t="n"/>
      <c r="AL33" s="91" t="n"/>
      <c r="AM33" s="84">
        <f>IF($A33="","",ROUND(DATEDIF($E33,IF($F33="",PERIODE_DATE,$F33),"m")*1.5,1))</f>
        <v/>
      </c>
      <c r="AN33" s="91" t="n"/>
      <c r="AO33" s="84">
        <f>IF($A33="","",ROUND(N(AL33)+N(AM33)-N(AN33),1))</f>
        <v/>
      </c>
      <c r="AP33" s="90" t="n"/>
      <c r="AQ33" s="90" t="n"/>
    </row>
    <row r="34" ht="15" customHeight="1" s="71">
      <c r="A34" s="91" t="n"/>
      <c r="B34" s="91" t="n"/>
      <c r="C34" s="91" t="n"/>
      <c r="D34" s="91" t="n"/>
      <c r="E34" s="90" t="n"/>
      <c r="F34" s="90" t="n"/>
      <c r="G34" s="91" t="n"/>
      <c r="H34" s="91" t="n"/>
      <c r="I34" s="93" t="n"/>
      <c r="J34" s="101" t="n"/>
      <c r="K34" s="83">
        <f>IF($A34="","",ROUND(N(I34)*N(J34),0))</f>
        <v/>
      </c>
      <c r="L34" s="83">
        <f>IF($A34="","",N(I34)-N(K34))</f>
        <v/>
      </c>
      <c r="M34" s="93" t="n"/>
      <c r="N34" s="91" t="n"/>
      <c r="O34" s="91" t="n"/>
      <c r="P34" s="91" t="n"/>
      <c r="Q34" s="91" t="n"/>
      <c r="R34" s="82">
        <f>IF(OR($A34="",E34=""),"—",IFERROR(DATEDIF(E34,PERIODE_DATE,"Y"),"—"))</f>
        <v/>
      </c>
      <c r="S34" s="92" t="n"/>
      <c r="T34" s="91" t="n"/>
      <c r="U34" s="91" t="n"/>
      <c r="V34" s="91" t="n"/>
      <c r="W34" s="90" t="n"/>
      <c r="X34" s="91" t="n"/>
      <c r="Y34" s="91" t="n"/>
      <c r="Z34" s="91" t="n"/>
      <c r="AA34" s="91" t="n"/>
      <c r="AB34" s="91" t="n"/>
      <c r="AC34" s="91" t="n"/>
      <c r="AD34" s="91" t="n"/>
      <c r="AE34" s="91" t="n"/>
      <c r="AF34" s="91" t="n"/>
      <c r="AG34" s="90" t="n"/>
      <c r="AH34" s="91" t="n"/>
      <c r="AI34" s="91" t="n"/>
      <c r="AJ34" s="91" t="n"/>
      <c r="AK34" s="91" t="n"/>
      <c r="AL34" s="91" t="n"/>
      <c r="AM34" s="84">
        <f>IF($A34="","",ROUND(DATEDIF($E34,IF($F34="",PERIODE_DATE,$F34),"m")*1.5,1))</f>
        <v/>
      </c>
      <c r="AN34" s="91" t="n"/>
      <c r="AO34" s="84">
        <f>IF($A34="","",ROUND(N(AL34)+N(AM34)-N(AN34),1))</f>
        <v/>
      </c>
      <c r="AP34" s="90" t="n"/>
      <c r="AQ34" s="90" t="n"/>
    </row>
    <row r="35" ht="15" customHeight="1" s="71">
      <c r="A35" s="91" t="n"/>
      <c r="B35" s="91" t="n"/>
      <c r="C35" s="91" t="n"/>
      <c r="D35" s="91" t="n"/>
      <c r="E35" s="90" t="n"/>
      <c r="F35" s="90" t="n"/>
      <c r="G35" s="91" t="n"/>
      <c r="H35" s="91" t="n"/>
      <c r="I35" s="93" t="n"/>
      <c r="J35" s="101" t="n"/>
      <c r="K35" s="83">
        <f>IF($A35="","",ROUND(N(I35)*N(J35),0))</f>
        <v/>
      </c>
      <c r="L35" s="83">
        <f>IF($A35="","",N(I35)-N(K35))</f>
        <v/>
      </c>
      <c r="M35" s="93" t="n"/>
      <c r="N35" s="91" t="n"/>
      <c r="O35" s="91" t="n"/>
      <c r="P35" s="91" t="n"/>
      <c r="Q35" s="91" t="n"/>
      <c r="R35" s="82">
        <f>IF(OR($A35="",E35=""),"—",IFERROR(DATEDIF(E35,PERIODE_DATE,"Y"),"—"))</f>
        <v/>
      </c>
      <c r="S35" s="92" t="n"/>
      <c r="T35" s="91" t="n"/>
      <c r="U35" s="91" t="n"/>
      <c r="V35" s="91" t="n"/>
      <c r="W35" s="90" t="n"/>
      <c r="X35" s="91" t="n"/>
      <c r="Y35" s="91" t="n"/>
      <c r="Z35" s="91" t="n"/>
      <c r="AA35" s="91" t="n"/>
      <c r="AB35" s="91" t="n"/>
      <c r="AC35" s="91" t="n"/>
      <c r="AD35" s="91" t="n"/>
      <c r="AE35" s="91" t="n"/>
      <c r="AF35" s="91" t="n"/>
      <c r="AG35" s="90" t="n"/>
      <c r="AH35" s="91" t="n"/>
      <c r="AI35" s="91" t="n"/>
      <c r="AJ35" s="91" t="n"/>
      <c r="AK35" s="91" t="n"/>
      <c r="AL35" s="91" t="n"/>
      <c r="AM35" s="84">
        <f>IF($A35="","",ROUND(DATEDIF($E35,IF($F35="",PERIODE_DATE,$F35),"m")*1.5,1))</f>
        <v/>
      </c>
      <c r="AN35" s="91" t="n"/>
      <c r="AO35" s="84">
        <f>IF($A35="","",ROUND(N(AL35)+N(AM35)-N(AN35),1))</f>
        <v/>
      </c>
      <c r="AP35" s="90" t="n"/>
      <c r="AQ35" s="90" t="n"/>
    </row>
    <row r="36" ht="15" customHeight="1" s="71">
      <c r="A36" s="91" t="n"/>
      <c r="B36" s="91" t="n"/>
      <c r="C36" s="91" t="n"/>
      <c r="D36" s="91" t="n"/>
      <c r="E36" s="90" t="n"/>
      <c r="F36" s="90" t="n"/>
      <c r="G36" s="91" t="n"/>
      <c r="H36" s="91" t="n"/>
      <c r="I36" s="93" t="n"/>
      <c r="J36" s="101" t="n"/>
      <c r="K36" s="83">
        <f>IF($A36="","",ROUND(N(I36)*N(J36),0))</f>
        <v/>
      </c>
      <c r="L36" s="83">
        <f>IF($A36="","",N(I36)-N(K36))</f>
        <v/>
      </c>
      <c r="M36" s="93" t="n"/>
      <c r="N36" s="91" t="n"/>
      <c r="O36" s="91" t="n"/>
      <c r="P36" s="91" t="n"/>
      <c r="Q36" s="91" t="n"/>
      <c r="R36" s="82">
        <f>IF(OR($A36="",E36=""),"—",IFERROR(DATEDIF(E36,PERIODE_DATE,"Y"),"—"))</f>
        <v/>
      </c>
      <c r="S36" s="92" t="n"/>
      <c r="T36" s="91" t="n"/>
      <c r="U36" s="91" t="n"/>
      <c r="V36" s="91" t="n"/>
      <c r="W36" s="90" t="n"/>
      <c r="X36" s="91" t="n"/>
      <c r="Y36" s="91" t="n"/>
      <c r="Z36" s="91" t="n"/>
      <c r="AA36" s="91" t="n"/>
      <c r="AB36" s="91" t="n"/>
      <c r="AC36" s="91" t="n"/>
      <c r="AD36" s="91" t="n"/>
      <c r="AE36" s="91" t="n"/>
      <c r="AF36" s="91" t="n"/>
      <c r="AG36" s="90" t="n"/>
      <c r="AH36" s="91" t="n"/>
      <c r="AI36" s="91" t="n"/>
      <c r="AJ36" s="91" t="n"/>
      <c r="AK36" s="91" t="n"/>
      <c r="AL36" s="91" t="n"/>
      <c r="AM36" s="84">
        <f>IF($A36="","",ROUND(DATEDIF($E36,IF($F36="",PERIODE_DATE,$F36),"m")*1.5,1))</f>
        <v/>
      </c>
      <c r="AN36" s="91" t="n"/>
      <c r="AO36" s="84">
        <f>IF($A36="","",ROUND(N(AL36)+N(AM36)-N(AN36),1))</f>
        <v/>
      </c>
      <c r="AP36" s="90" t="n"/>
      <c r="AQ36" s="90" t="n"/>
    </row>
    <row r="37" ht="15" customHeight="1" s="71">
      <c r="A37" s="91" t="n"/>
      <c r="B37" s="91" t="n"/>
      <c r="C37" s="91" t="n"/>
      <c r="D37" s="91" t="n"/>
      <c r="E37" s="90" t="n"/>
      <c r="F37" s="90" t="n"/>
      <c r="G37" s="91" t="n"/>
      <c r="H37" s="91" t="n"/>
      <c r="I37" s="93" t="n"/>
      <c r="J37" s="101" t="n"/>
      <c r="K37" s="83">
        <f>IF($A37="","",ROUND(N(I37)*N(J37),0))</f>
        <v/>
      </c>
      <c r="L37" s="83">
        <f>IF($A37="","",N(I37)-N(K37))</f>
        <v/>
      </c>
      <c r="M37" s="93" t="n"/>
      <c r="N37" s="91" t="n"/>
      <c r="O37" s="91" t="n"/>
      <c r="P37" s="91" t="n"/>
      <c r="Q37" s="91" t="n"/>
      <c r="R37" s="82">
        <f>IF(OR($A37="",E37=""),"—",IFERROR(DATEDIF(E37,PERIODE_DATE,"Y"),"—"))</f>
        <v/>
      </c>
      <c r="S37" s="92" t="n"/>
      <c r="T37" s="91" t="n"/>
      <c r="U37" s="91" t="n"/>
      <c r="V37" s="91" t="n"/>
      <c r="W37" s="90" t="n"/>
      <c r="X37" s="91" t="n"/>
      <c r="Y37" s="91" t="n"/>
      <c r="Z37" s="91" t="n"/>
      <c r="AA37" s="91" t="n"/>
      <c r="AB37" s="91" t="n"/>
      <c r="AC37" s="91" t="n"/>
      <c r="AD37" s="91" t="n"/>
      <c r="AE37" s="91" t="n"/>
      <c r="AF37" s="91" t="n"/>
      <c r="AG37" s="90" t="n"/>
      <c r="AH37" s="91" t="n"/>
      <c r="AI37" s="91" t="n"/>
      <c r="AJ37" s="91" t="n"/>
      <c r="AK37" s="91" t="n"/>
      <c r="AL37" s="91" t="n"/>
      <c r="AM37" s="84">
        <f>IF($A37="","",ROUND(DATEDIF($E37,IF($F37="",PERIODE_DATE,$F37),"m")*1.5,1))</f>
        <v/>
      </c>
      <c r="AN37" s="91" t="n"/>
      <c r="AO37" s="84">
        <f>IF($A37="","",ROUND(N(AL37)+N(AM37)-N(AN37),1))</f>
        <v/>
      </c>
      <c r="AP37" s="90" t="n"/>
      <c r="AQ37" s="90" t="n"/>
    </row>
    <row r="38" ht="15" customHeight="1" s="71">
      <c r="A38" s="91" t="n"/>
      <c r="B38" s="91" t="n"/>
      <c r="C38" s="91" t="n"/>
      <c r="D38" s="91" t="n"/>
      <c r="E38" s="90" t="n"/>
      <c r="F38" s="90" t="n"/>
      <c r="G38" s="91" t="n"/>
      <c r="H38" s="91" t="n"/>
      <c r="I38" s="93" t="n"/>
      <c r="J38" s="101" t="n"/>
      <c r="K38" s="83">
        <f>IF($A38="","",ROUND(N(I38)*N(J38),0))</f>
        <v/>
      </c>
      <c r="L38" s="83">
        <f>IF($A38="","",N(I38)-N(K38))</f>
        <v/>
      </c>
      <c r="M38" s="93" t="n"/>
      <c r="N38" s="91" t="n"/>
      <c r="O38" s="91" t="n"/>
      <c r="P38" s="91" t="n"/>
      <c r="Q38" s="91" t="n"/>
      <c r="R38" s="82">
        <f>IF(OR($A38="",E38=""),"—",IFERROR(DATEDIF(E38,PERIODE_DATE,"Y"),"—"))</f>
        <v/>
      </c>
      <c r="S38" s="92" t="n"/>
      <c r="T38" s="91" t="n"/>
      <c r="U38" s="91" t="n"/>
      <c r="V38" s="91" t="n"/>
      <c r="W38" s="90" t="n"/>
      <c r="X38" s="91" t="n"/>
      <c r="Y38" s="91" t="n"/>
      <c r="Z38" s="91" t="n"/>
      <c r="AA38" s="91" t="n"/>
      <c r="AB38" s="91" t="n"/>
      <c r="AC38" s="91" t="n"/>
      <c r="AD38" s="91" t="n"/>
      <c r="AE38" s="91" t="n"/>
      <c r="AF38" s="91" t="n"/>
      <c r="AG38" s="90" t="n"/>
      <c r="AH38" s="91" t="n"/>
      <c r="AI38" s="91" t="n"/>
      <c r="AJ38" s="91" t="n"/>
      <c r="AK38" s="91" t="n"/>
      <c r="AL38" s="91" t="n"/>
      <c r="AM38" s="84">
        <f>IF($A38="","",ROUND(DATEDIF($E38,IF($F38="",PERIODE_DATE,$F38),"m")*1.5,1))</f>
        <v/>
      </c>
      <c r="AN38" s="91" t="n"/>
      <c r="AO38" s="84">
        <f>IF($A38="","",ROUND(N(AL38)+N(AM38)-N(AN38),1))</f>
        <v/>
      </c>
      <c r="AP38" s="90" t="n"/>
      <c r="AQ38" s="90" t="n"/>
    </row>
    <row r="39" ht="15" customHeight="1" s="71">
      <c r="A39" s="91" t="n"/>
      <c r="B39" s="91" t="n"/>
      <c r="C39" s="91" t="n"/>
      <c r="D39" s="91" t="n"/>
      <c r="E39" s="90" t="n"/>
      <c r="F39" s="90" t="n"/>
      <c r="G39" s="91" t="n"/>
      <c r="H39" s="91" t="n"/>
      <c r="I39" s="93" t="n"/>
      <c r="J39" s="101" t="n"/>
      <c r="K39" s="83">
        <f>IF($A39="","",ROUND(N(I39)*N(J39),0))</f>
        <v/>
      </c>
      <c r="L39" s="83">
        <f>IF($A39="","",N(I39)-N(K39))</f>
        <v/>
      </c>
      <c r="M39" s="93" t="n"/>
      <c r="N39" s="91" t="n"/>
      <c r="O39" s="91" t="n"/>
      <c r="P39" s="91" t="n"/>
      <c r="Q39" s="91" t="n"/>
      <c r="R39" s="82">
        <f>IF(OR($A39="",E39=""),"—",IFERROR(DATEDIF(E39,PERIODE_DATE,"Y"),"—"))</f>
        <v/>
      </c>
      <c r="S39" s="92" t="n"/>
      <c r="T39" s="91" t="n"/>
      <c r="U39" s="91" t="n"/>
      <c r="V39" s="91" t="n"/>
      <c r="W39" s="90" t="n"/>
      <c r="X39" s="91" t="n"/>
      <c r="Y39" s="91" t="n"/>
      <c r="Z39" s="91" t="n"/>
      <c r="AA39" s="91" t="n"/>
      <c r="AB39" s="91" t="n"/>
      <c r="AC39" s="91" t="n"/>
      <c r="AD39" s="91" t="n"/>
      <c r="AE39" s="91" t="n"/>
      <c r="AF39" s="91" t="n"/>
      <c r="AG39" s="90" t="n"/>
      <c r="AH39" s="91" t="n"/>
      <c r="AI39" s="91" t="n"/>
      <c r="AJ39" s="91" t="n"/>
      <c r="AK39" s="91" t="n"/>
      <c r="AL39" s="91" t="n"/>
      <c r="AM39" s="84">
        <f>IF($A39="","",ROUND(DATEDIF($E39,IF($F39="",PERIODE_DATE,$F39),"m")*1.5,1))</f>
        <v/>
      </c>
      <c r="AN39" s="91" t="n"/>
      <c r="AO39" s="84">
        <f>IF($A39="","",ROUND(N(AL39)+N(AM39)-N(AN39),1))</f>
        <v/>
      </c>
      <c r="AP39" s="90" t="n"/>
      <c r="AQ39" s="90" t="n"/>
    </row>
    <row r="40" ht="15" customHeight="1" s="71">
      <c r="A40" s="91" t="n"/>
      <c r="B40" s="91" t="n"/>
      <c r="C40" s="91" t="n"/>
      <c r="D40" s="91" t="n"/>
      <c r="E40" s="90" t="n"/>
      <c r="F40" s="90" t="n"/>
      <c r="G40" s="91" t="n"/>
      <c r="H40" s="91" t="n"/>
      <c r="I40" s="93" t="n"/>
      <c r="J40" s="101" t="n"/>
      <c r="K40" s="83">
        <f>IF($A40="","",ROUND(N(I40)*N(J40),0))</f>
        <v/>
      </c>
      <c r="L40" s="83">
        <f>IF($A40="","",N(I40)-N(K40))</f>
        <v/>
      </c>
      <c r="M40" s="93" t="n"/>
      <c r="N40" s="91" t="n"/>
      <c r="O40" s="91" t="n"/>
      <c r="P40" s="91" t="n"/>
      <c r="Q40" s="91" t="n"/>
      <c r="R40" s="82">
        <f>IF(OR($A40="",E40=""),"—",IFERROR(DATEDIF(E40,PERIODE_DATE,"Y"),"—"))</f>
        <v/>
      </c>
      <c r="S40" s="92" t="n"/>
      <c r="T40" s="91" t="n"/>
      <c r="U40" s="91" t="n"/>
      <c r="V40" s="91" t="n"/>
      <c r="W40" s="90" t="n"/>
      <c r="X40" s="91" t="n"/>
      <c r="Y40" s="91" t="n"/>
      <c r="Z40" s="91" t="n"/>
      <c r="AA40" s="91" t="n"/>
      <c r="AB40" s="91" t="n"/>
      <c r="AC40" s="91" t="n"/>
      <c r="AD40" s="91" t="n"/>
      <c r="AE40" s="91" t="n"/>
      <c r="AF40" s="91" t="n"/>
      <c r="AG40" s="90" t="n"/>
      <c r="AH40" s="91" t="n"/>
      <c r="AI40" s="91" t="n"/>
      <c r="AJ40" s="91" t="n"/>
      <c r="AK40" s="91" t="n"/>
      <c r="AL40" s="91" t="n"/>
      <c r="AM40" s="84">
        <f>IF($A40="","",ROUND(DATEDIF($E40,IF($F40="",PERIODE_DATE,$F40),"m")*1.5,1))</f>
        <v/>
      </c>
      <c r="AN40" s="91" t="n"/>
      <c r="AO40" s="84">
        <f>IF($A40="","",ROUND(N(AL40)+N(AM40)-N(AN40),1))</f>
        <v/>
      </c>
      <c r="AP40" s="90" t="n"/>
      <c r="AQ40" s="90" t="n"/>
    </row>
    <row r="41" ht="15" customHeight="1" s="71">
      <c r="A41" s="91" t="n"/>
      <c r="B41" s="91" t="n"/>
      <c r="C41" s="91" t="n"/>
      <c r="D41" s="91" t="n"/>
      <c r="E41" s="90" t="n"/>
      <c r="F41" s="90" t="n"/>
      <c r="G41" s="91" t="n"/>
      <c r="H41" s="91" t="n"/>
      <c r="I41" s="93" t="n"/>
      <c r="J41" s="101" t="n"/>
      <c r="K41" s="83">
        <f>IF($A41="","",ROUND(N(I41)*N(J41),0))</f>
        <v/>
      </c>
      <c r="L41" s="83">
        <f>IF($A41="","",N(I41)-N(K41))</f>
        <v/>
      </c>
      <c r="M41" s="93" t="n"/>
      <c r="N41" s="91" t="n"/>
      <c r="O41" s="91" t="n"/>
      <c r="P41" s="91" t="n"/>
      <c r="Q41" s="91" t="n"/>
      <c r="R41" s="82">
        <f>IF(OR($A41="",E41=""),"—",IFERROR(DATEDIF(E41,PERIODE_DATE,"Y"),"—"))</f>
        <v/>
      </c>
      <c r="S41" s="92" t="n"/>
      <c r="T41" s="91" t="n"/>
      <c r="U41" s="91" t="n"/>
      <c r="V41" s="91" t="n"/>
      <c r="W41" s="90" t="n"/>
      <c r="X41" s="91" t="n"/>
      <c r="Y41" s="91" t="n"/>
      <c r="Z41" s="91" t="n"/>
      <c r="AA41" s="91" t="n"/>
      <c r="AB41" s="91" t="n"/>
      <c r="AC41" s="91" t="n"/>
      <c r="AD41" s="91" t="n"/>
      <c r="AE41" s="91" t="n"/>
      <c r="AF41" s="91" t="n"/>
      <c r="AG41" s="90" t="n"/>
      <c r="AH41" s="91" t="n"/>
      <c r="AI41" s="91" t="n"/>
      <c r="AJ41" s="91" t="n"/>
      <c r="AK41" s="91" t="n"/>
      <c r="AL41" s="91" t="n"/>
      <c r="AM41" s="84">
        <f>IF($A41="","",ROUND(DATEDIF($E41,IF($F41="",PERIODE_DATE,$F41),"m")*1.5,1))</f>
        <v/>
      </c>
      <c r="AN41" s="91" t="n"/>
      <c r="AO41" s="84">
        <f>IF($A41="","",ROUND(N(AL41)+N(AM41)-N(AN41),1))</f>
        <v/>
      </c>
      <c r="AP41" s="90" t="n"/>
      <c r="AQ41" s="90" t="n"/>
    </row>
    <row r="42" ht="15" customHeight="1" s="71">
      <c r="A42" s="91" t="n"/>
      <c r="B42" s="91" t="n"/>
      <c r="C42" s="91" t="n"/>
      <c r="D42" s="91" t="n"/>
      <c r="E42" s="90" t="n"/>
      <c r="F42" s="90" t="n"/>
      <c r="G42" s="91" t="n"/>
      <c r="H42" s="91" t="n"/>
      <c r="I42" s="93" t="n"/>
      <c r="J42" s="101" t="n"/>
      <c r="K42" s="83">
        <f>IF($A42="","",ROUND(N(I42)*N(J42),0))</f>
        <v/>
      </c>
      <c r="L42" s="83">
        <f>IF($A42="","",N(I42)-N(K42))</f>
        <v/>
      </c>
      <c r="M42" s="93" t="n"/>
      <c r="N42" s="91" t="n"/>
      <c r="O42" s="91" t="n"/>
      <c r="P42" s="91" t="n"/>
      <c r="Q42" s="91" t="n"/>
      <c r="R42" s="82">
        <f>IF(OR($A42="",E42=""),"—",IFERROR(DATEDIF(E42,PERIODE_DATE,"Y"),"—"))</f>
        <v/>
      </c>
      <c r="S42" s="92" t="n"/>
      <c r="T42" s="91" t="n"/>
      <c r="U42" s="91" t="n"/>
      <c r="V42" s="91" t="n"/>
      <c r="W42" s="90" t="n"/>
      <c r="X42" s="91" t="n"/>
      <c r="Y42" s="91" t="n"/>
      <c r="Z42" s="91" t="n"/>
      <c r="AA42" s="91" t="n"/>
      <c r="AB42" s="91" t="n"/>
      <c r="AC42" s="91" t="n"/>
      <c r="AD42" s="91" t="n"/>
      <c r="AE42" s="91" t="n"/>
      <c r="AF42" s="91" t="n"/>
      <c r="AG42" s="90" t="n"/>
      <c r="AH42" s="91" t="n"/>
      <c r="AI42" s="91" t="n"/>
      <c r="AJ42" s="91" t="n"/>
      <c r="AK42" s="91" t="n"/>
      <c r="AL42" s="91" t="n"/>
      <c r="AM42" s="84">
        <f>IF($A42="","",ROUND(DATEDIF($E42,IF($F42="",PERIODE_DATE,$F42),"m")*1.5,1))</f>
        <v/>
      </c>
      <c r="AN42" s="91" t="n"/>
      <c r="AO42" s="84">
        <f>IF($A42="","",ROUND(N(AL42)+N(AM42)-N(AN42),1))</f>
        <v/>
      </c>
      <c r="AP42" s="90" t="n"/>
      <c r="AQ42" s="90" t="n"/>
    </row>
    <row r="43" ht="15" customHeight="1" s="71">
      <c r="A43" s="91" t="n"/>
      <c r="B43" s="91" t="n"/>
      <c r="C43" s="91" t="n"/>
      <c r="D43" s="91" t="n"/>
      <c r="E43" s="90" t="n"/>
      <c r="F43" s="90" t="n"/>
      <c r="G43" s="91" t="n"/>
      <c r="H43" s="91" t="n"/>
      <c r="I43" s="93" t="n"/>
      <c r="J43" s="101" t="n"/>
      <c r="K43" s="83">
        <f>IF($A43="","",ROUND(N(I43)*N(J43),0))</f>
        <v/>
      </c>
      <c r="L43" s="83">
        <f>IF($A43="","",N(I43)-N(K43))</f>
        <v/>
      </c>
      <c r="M43" s="93" t="n"/>
      <c r="N43" s="91" t="n"/>
      <c r="O43" s="91" t="n"/>
      <c r="P43" s="91" t="n"/>
      <c r="Q43" s="91" t="n"/>
      <c r="R43" s="82">
        <f>IF(OR($A43="",E43=""),"—",IFERROR(DATEDIF(E43,PERIODE_DATE,"Y"),"—"))</f>
        <v/>
      </c>
      <c r="S43" s="92" t="n"/>
      <c r="T43" s="91" t="n"/>
      <c r="U43" s="91" t="n"/>
      <c r="V43" s="91" t="n"/>
      <c r="W43" s="90" t="n"/>
      <c r="X43" s="91" t="n"/>
      <c r="Y43" s="91" t="n"/>
      <c r="Z43" s="91" t="n"/>
      <c r="AA43" s="91" t="n"/>
      <c r="AB43" s="91" t="n"/>
      <c r="AC43" s="91" t="n"/>
      <c r="AD43" s="91" t="n"/>
      <c r="AE43" s="91" t="n"/>
      <c r="AF43" s="91" t="n"/>
      <c r="AG43" s="90" t="n"/>
      <c r="AH43" s="91" t="n"/>
      <c r="AI43" s="91" t="n"/>
      <c r="AJ43" s="91" t="n"/>
      <c r="AK43" s="91" t="n"/>
      <c r="AL43" s="91" t="n"/>
      <c r="AM43" s="84">
        <f>IF($A43="","",ROUND(DATEDIF($E43,IF($F43="",PERIODE_DATE,$F43),"m")*1.5,1))</f>
        <v/>
      </c>
      <c r="AN43" s="91" t="n"/>
      <c r="AO43" s="84">
        <f>IF($A43="","",ROUND(N(AL43)+N(AM43)-N(AN43),1))</f>
        <v/>
      </c>
      <c r="AP43" s="90" t="n"/>
      <c r="AQ43" s="90" t="n"/>
    </row>
    <row r="44" ht="15" customHeight="1" s="71">
      <c r="A44" s="91" t="n"/>
      <c r="B44" s="91" t="n"/>
      <c r="C44" s="91" t="n"/>
      <c r="D44" s="91" t="n"/>
      <c r="E44" s="90" t="n"/>
      <c r="F44" s="90" t="n"/>
      <c r="G44" s="91" t="n"/>
      <c r="H44" s="91" t="n"/>
      <c r="I44" s="93" t="n"/>
      <c r="J44" s="101" t="n"/>
      <c r="K44" s="83">
        <f>IF($A44="","",ROUND(N(I44)*N(J44),0))</f>
        <v/>
      </c>
      <c r="L44" s="83">
        <f>IF($A44="","",N(I44)-N(K44))</f>
        <v/>
      </c>
      <c r="M44" s="93" t="n"/>
      <c r="N44" s="91" t="n"/>
      <c r="O44" s="91" t="n"/>
      <c r="P44" s="91" t="n"/>
      <c r="Q44" s="91" t="n"/>
      <c r="R44" s="82">
        <f>IF(OR($A44="",E44=""),"—",IFERROR(DATEDIF(E44,PERIODE_DATE,"Y"),"—"))</f>
        <v/>
      </c>
      <c r="S44" s="92" t="n"/>
      <c r="T44" s="91" t="n"/>
      <c r="U44" s="91" t="n"/>
      <c r="V44" s="91" t="n"/>
      <c r="W44" s="90" t="n"/>
      <c r="X44" s="91" t="n"/>
      <c r="Y44" s="91" t="n"/>
      <c r="Z44" s="91" t="n"/>
      <c r="AA44" s="91" t="n"/>
      <c r="AB44" s="91" t="n"/>
      <c r="AC44" s="91" t="n"/>
      <c r="AD44" s="91" t="n"/>
      <c r="AE44" s="91" t="n"/>
      <c r="AF44" s="91" t="n"/>
      <c r="AG44" s="90" t="n"/>
      <c r="AH44" s="91" t="n"/>
      <c r="AI44" s="91" t="n"/>
      <c r="AJ44" s="91" t="n"/>
      <c r="AK44" s="91" t="n"/>
      <c r="AL44" s="91" t="n"/>
      <c r="AM44" s="84">
        <f>IF($A44="","",ROUND(DATEDIF($E44,IF($F44="",PERIODE_DATE,$F44),"m")*1.5,1))</f>
        <v/>
      </c>
      <c r="AN44" s="91" t="n"/>
      <c r="AO44" s="84">
        <f>IF($A44="","",ROUND(N(AL44)+N(AM44)-N(AN44),1))</f>
        <v/>
      </c>
      <c r="AP44" s="90" t="n"/>
      <c r="AQ44" s="90" t="n"/>
    </row>
    <row r="45" ht="15" customHeight="1" s="71">
      <c r="A45" s="91" t="n"/>
      <c r="B45" s="91" t="n"/>
      <c r="C45" s="91" t="n"/>
      <c r="D45" s="91" t="n"/>
      <c r="E45" s="90" t="n"/>
      <c r="F45" s="90" t="n"/>
      <c r="G45" s="91" t="n"/>
      <c r="H45" s="91" t="n"/>
      <c r="I45" s="93" t="n"/>
      <c r="J45" s="101" t="n"/>
      <c r="K45" s="83">
        <f>IF($A45="","",ROUND(N(I45)*N(J45),0))</f>
        <v/>
      </c>
      <c r="L45" s="83">
        <f>IF($A45="","",N(I45)-N(K45))</f>
        <v/>
      </c>
      <c r="M45" s="93" t="n"/>
      <c r="N45" s="91" t="n"/>
      <c r="O45" s="91" t="n"/>
      <c r="P45" s="91" t="n"/>
      <c r="Q45" s="91" t="n"/>
      <c r="R45" s="82">
        <f>IF(OR($A45="",E45=""),"—",IFERROR(DATEDIF(E45,PERIODE_DATE,"Y"),"—"))</f>
        <v/>
      </c>
      <c r="S45" s="92" t="n"/>
      <c r="T45" s="91" t="n"/>
      <c r="U45" s="91" t="n"/>
      <c r="V45" s="91" t="n"/>
      <c r="W45" s="90" t="n"/>
      <c r="X45" s="91" t="n"/>
      <c r="Y45" s="91" t="n"/>
      <c r="Z45" s="91" t="n"/>
      <c r="AA45" s="91" t="n"/>
      <c r="AB45" s="91" t="n"/>
      <c r="AC45" s="91" t="n"/>
      <c r="AD45" s="91" t="n"/>
      <c r="AE45" s="91" t="n"/>
      <c r="AF45" s="91" t="n"/>
      <c r="AG45" s="90" t="n"/>
      <c r="AH45" s="91" t="n"/>
      <c r="AI45" s="91" t="n"/>
      <c r="AJ45" s="91" t="n"/>
      <c r="AK45" s="91" t="n"/>
      <c r="AL45" s="91" t="n"/>
      <c r="AM45" s="84">
        <f>IF($A45="","",ROUND(DATEDIF($E45,IF($F45="",PERIODE_DATE,$F45),"m")*1.5,1))</f>
        <v/>
      </c>
      <c r="AN45" s="91" t="n"/>
      <c r="AO45" s="84">
        <f>IF($A45="","",ROUND(N(AL45)+N(AM45)-N(AN45),1))</f>
        <v/>
      </c>
      <c r="AP45" s="90" t="n"/>
      <c r="AQ45" s="90" t="n"/>
    </row>
    <row r="46" ht="15" customHeight="1" s="71">
      <c r="A46" s="91" t="n"/>
      <c r="B46" s="91" t="n"/>
      <c r="C46" s="91" t="n"/>
      <c r="D46" s="91" t="n"/>
      <c r="E46" s="90" t="n"/>
      <c r="F46" s="90" t="n"/>
      <c r="G46" s="91" t="n"/>
      <c r="H46" s="91" t="n"/>
      <c r="I46" s="93" t="n"/>
      <c r="J46" s="101" t="n"/>
      <c r="K46" s="83">
        <f>IF($A46="","",ROUND(N(I46)*N(J46),0))</f>
        <v/>
      </c>
      <c r="L46" s="83">
        <f>IF($A46="","",N(I46)-N(K46))</f>
        <v/>
      </c>
      <c r="M46" s="93" t="n"/>
      <c r="N46" s="91" t="n"/>
      <c r="O46" s="91" t="n"/>
      <c r="P46" s="91" t="n"/>
      <c r="Q46" s="91" t="n"/>
      <c r="R46" s="82">
        <f>IF(OR($A46="",E46=""),"—",IFERROR(DATEDIF(E46,PERIODE_DATE,"Y"),"—"))</f>
        <v/>
      </c>
      <c r="S46" s="92" t="n"/>
      <c r="T46" s="91" t="n"/>
      <c r="U46" s="91" t="n"/>
      <c r="V46" s="91" t="n"/>
      <c r="W46" s="90" t="n"/>
      <c r="X46" s="91" t="n"/>
      <c r="Y46" s="91" t="n"/>
      <c r="Z46" s="91" t="n"/>
      <c r="AA46" s="91" t="n"/>
      <c r="AB46" s="91" t="n"/>
      <c r="AC46" s="91" t="n"/>
      <c r="AD46" s="91" t="n"/>
      <c r="AE46" s="91" t="n"/>
      <c r="AF46" s="91" t="n"/>
      <c r="AG46" s="90" t="n"/>
      <c r="AH46" s="91" t="n"/>
      <c r="AI46" s="91" t="n"/>
      <c r="AJ46" s="91" t="n"/>
      <c r="AK46" s="91" t="n"/>
      <c r="AL46" s="91" t="n"/>
      <c r="AM46" s="84">
        <f>IF($A46="","",ROUND(DATEDIF($E46,IF($F46="",PERIODE_DATE,$F46),"m")*1.5,1))</f>
        <v/>
      </c>
      <c r="AN46" s="91" t="n"/>
      <c r="AO46" s="84">
        <f>IF($A46="","",ROUND(N(AL46)+N(AM46)-N(AN46),1))</f>
        <v/>
      </c>
      <c r="AP46" s="90" t="n"/>
      <c r="AQ46" s="90" t="n"/>
    </row>
    <row r="47" ht="15" customHeight="1" s="71">
      <c r="A47" s="91" t="n"/>
      <c r="B47" s="91" t="n"/>
      <c r="C47" s="91" t="n"/>
      <c r="D47" s="91" t="n"/>
      <c r="E47" s="90" t="n"/>
      <c r="F47" s="90" t="n"/>
      <c r="G47" s="91" t="n"/>
      <c r="H47" s="91" t="n"/>
      <c r="I47" s="93" t="n"/>
      <c r="J47" s="101" t="n"/>
      <c r="K47" s="83">
        <f>IF($A47="","",ROUND(N(I47)*N(J47),0))</f>
        <v/>
      </c>
      <c r="L47" s="83">
        <f>IF($A47="","",N(I47)-N(K47))</f>
        <v/>
      </c>
      <c r="M47" s="93" t="n"/>
      <c r="N47" s="91" t="n"/>
      <c r="O47" s="91" t="n"/>
      <c r="P47" s="91" t="n"/>
      <c r="Q47" s="91" t="n"/>
      <c r="R47" s="82">
        <f>IF(OR($A47="",E47=""),"—",IFERROR(DATEDIF(E47,PERIODE_DATE,"Y"),"—"))</f>
        <v/>
      </c>
      <c r="S47" s="92" t="n"/>
      <c r="T47" s="91" t="n"/>
      <c r="U47" s="91" t="n"/>
      <c r="V47" s="91" t="n"/>
      <c r="W47" s="90" t="n"/>
      <c r="X47" s="91" t="n"/>
      <c r="Y47" s="91" t="n"/>
      <c r="Z47" s="91" t="n"/>
      <c r="AA47" s="91" t="n"/>
      <c r="AB47" s="91" t="n"/>
      <c r="AC47" s="91" t="n"/>
      <c r="AD47" s="91" t="n"/>
      <c r="AE47" s="91" t="n"/>
      <c r="AF47" s="91" t="n"/>
      <c r="AG47" s="90" t="n"/>
      <c r="AH47" s="91" t="n"/>
      <c r="AI47" s="91" t="n"/>
      <c r="AJ47" s="91" t="n"/>
      <c r="AK47" s="91" t="n"/>
      <c r="AL47" s="91" t="n"/>
      <c r="AM47" s="84">
        <f>IF($A47="","",ROUND(DATEDIF($E47,IF($F47="",PERIODE_DATE,$F47),"m")*1.5,1))</f>
        <v/>
      </c>
      <c r="AN47" s="91" t="n"/>
      <c r="AO47" s="84">
        <f>IF($A47="","",ROUND(N(AL47)+N(AM47)-N(AN47),1))</f>
        <v/>
      </c>
      <c r="AP47" s="90" t="n"/>
      <c r="AQ47" s="90" t="n"/>
    </row>
    <row r="48" ht="15" customHeight="1" s="71">
      <c r="A48" s="91" t="n"/>
      <c r="B48" s="91" t="n"/>
      <c r="C48" s="91" t="n"/>
      <c r="D48" s="91" t="n"/>
      <c r="E48" s="90" t="n"/>
      <c r="F48" s="90" t="n"/>
      <c r="G48" s="91" t="n"/>
      <c r="H48" s="91" t="n"/>
      <c r="I48" s="93" t="n"/>
      <c r="J48" s="101" t="n"/>
      <c r="K48" s="83">
        <f>IF($A48="","",ROUND(N(I48)*N(J48),0))</f>
        <v/>
      </c>
      <c r="L48" s="83">
        <f>IF($A48="","",N(I48)-N(K48))</f>
        <v/>
      </c>
      <c r="M48" s="93" t="n"/>
      <c r="N48" s="91" t="n"/>
      <c r="O48" s="91" t="n"/>
      <c r="P48" s="91" t="n"/>
      <c r="Q48" s="91" t="n"/>
      <c r="R48" s="82">
        <f>IF(OR($A48="",E48=""),"—",IFERROR(DATEDIF(E48,PERIODE_DATE,"Y"),"—"))</f>
        <v/>
      </c>
      <c r="S48" s="92" t="n"/>
      <c r="T48" s="91" t="n"/>
      <c r="U48" s="91" t="n"/>
      <c r="V48" s="91" t="n"/>
      <c r="W48" s="90" t="n"/>
      <c r="X48" s="91" t="n"/>
      <c r="Y48" s="91" t="n"/>
      <c r="Z48" s="91" t="n"/>
      <c r="AA48" s="91" t="n"/>
      <c r="AB48" s="91" t="n"/>
      <c r="AC48" s="91" t="n"/>
      <c r="AD48" s="91" t="n"/>
      <c r="AE48" s="91" t="n"/>
      <c r="AF48" s="91" t="n"/>
      <c r="AG48" s="90" t="n"/>
      <c r="AH48" s="91" t="n"/>
      <c r="AI48" s="91" t="n"/>
      <c r="AJ48" s="91" t="n"/>
      <c r="AK48" s="91" t="n"/>
      <c r="AL48" s="91" t="n"/>
      <c r="AM48" s="84">
        <f>IF($A48="","",ROUND(DATEDIF($E48,IF($F48="",PERIODE_DATE,$F48),"m")*1.5,1))</f>
        <v/>
      </c>
      <c r="AN48" s="91" t="n"/>
      <c r="AO48" s="84">
        <f>IF($A48="","",ROUND(N(AL48)+N(AM48)-N(AN48),1))</f>
        <v/>
      </c>
      <c r="AP48" s="90" t="n"/>
      <c r="AQ48" s="90" t="n"/>
    </row>
    <row r="49" ht="15" customHeight="1" s="71">
      <c r="A49" s="91" t="n"/>
      <c r="B49" s="91" t="n"/>
      <c r="C49" s="91" t="n"/>
      <c r="D49" s="91" t="n"/>
      <c r="E49" s="90" t="n"/>
      <c r="F49" s="90" t="n"/>
      <c r="G49" s="91" t="n"/>
      <c r="H49" s="91" t="n"/>
      <c r="I49" s="93" t="n"/>
      <c r="J49" s="101" t="n"/>
      <c r="K49" s="83">
        <f>IF($A49="","",ROUND(N(I49)*N(J49),0))</f>
        <v/>
      </c>
      <c r="L49" s="83">
        <f>IF($A49="","",N(I49)-N(K49))</f>
        <v/>
      </c>
      <c r="M49" s="93" t="n"/>
      <c r="N49" s="91" t="n"/>
      <c r="O49" s="91" t="n"/>
      <c r="P49" s="91" t="n"/>
      <c r="Q49" s="91" t="n"/>
      <c r="R49" s="82">
        <f>IF(OR($A49="",E49=""),"—",IFERROR(DATEDIF(E49,PERIODE_DATE,"Y"),"—"))</f>
        <v/>
      </c>
      <c r="S49" s="92" t="n"/>
      <c r="T49" s="91" t="n"/>
      <c r="U49" s="91" t="n"/>
      <c r="V49" s="91" t="n"/>
      <c r="W49" s="90" t="n"/>
      <c r="X49" s="91" t="n"/>
      <c r="Y49" s="91" t="n"/>
      <c r="Z49" s="91" t="n"/>
      <c r="AA49" s="91" t="n"/>
      <c r="AB49" s="91" t="n"/>
      <c r="AC49" s="91" t="n"/>
      <c r="AD49" s="91" t="n"/>
      <c r="AE49" s="91" t="n"/>
      <c r="AF49" s="91" t="n"/>
      <c r="AG49" s="90" t="n"/>
      <c r="AH49" s="91" t="n"/>
      <c r="AI49" s="91" t="n"/>
      <c r="AJ49" s="91" t="n"/>
      <c r="AK49" s="91" t="n"/>
      <c r="AL49" s="91" t="n"/>
      <c r="AM49" s="84">
        <f>IF($A49="","",ROUND(DATEDIF($E49,IF($F49="",PERIODE_DATE,$F49),"m")*1.5,1))</f>
        <v/>
      </c>
      <c r="AN49" s="91" t="n"/>
      <c r="AO49" s="84">
        <f>IF($A49="","",ROUND(N(AL49)+N(AM49)-N(AN49),1))</f>
        <v/>
      </c>
      <c r="AP49" s="90" t="n"/>
      <c r="AQ49" s="90" t="n"/>
    </row>
    <row r="50" ht="15" customHeight="1" s="71">
      <c r="A50" s="91" t="n"/>
      <c r="B50" s="91" t="n"/>
      <c r="C50" s="91" t="n"/>
      <c r="D50" s="91" t="n"/>
      <c r="E50" s="90" t="n"/>
      <c r="F50" s="90" t="n"/>
      <c r="G50" s="91" t="n"/>
      <c r="H50" s="91" t="n"/>
      <c r="I50" s="93" t="n"/>
      <c r="J50" s="101" t="n"/>
      <c r="K50" s="83">
        <f>IF($A50="","",ROUND(N(I50)*N(J50),0))</f>
        <v/>
      </c>
      <c r="L50" s="83">
        <f>IF($A50="","",N(I50)-N(K50))</f>
        <v/>
      </c>
      <c r="M50" s="93" t="n"/>
      <c r="N50" s="91" t="n"/>
      <c r="O50" s="91" t="n"/>
      <c r="P50" s="91" t="n"/>
      <c r="Q50" s="91" t="n"/>
      <c r="R50" s="82">
        <f>IF(OR($A50="",E50=""),"—",IFERROR(DATEDIF(E50,PERIODE_DATE,"Y"),"—"))</f>
        <v/>
      </c>
      <c r="S50" s="92" t="n"/>
      <c r="T50" s="91" t="n"/>
      <c r="U50" s="91" t="n"/>
      <c r="V50" s="91" t="n"/>
      <c r="W50" s="90" t="n"/>
      <c r="X50" s="91" t="n"/>
      <c r="Y50" s="91" t="n"/>
      <c r="Z50" s="91" t="n"/>
      <c r="AA50" s="91" t="n"/>
      <c r="AB50" s="91" t="n"/>
      <c r="AC50" s="91" t="n"/>
      <c r="AD50" s="91" t="n"/>
      <c r="AE50" s="91" t="n"/>
      <c r="AF50" s="91" t="n"/>
      <c r="AG50" s="90" t="n"/>
      <c r="AH50" s="91" t="n"/>
      <c r="AI50" s="91" t="n"/>
      <c r="AJ50" s="91" t="n"/>
      <c r="AK50" s="91" t="n"/>
      <c r="AL50" s="91" t="n"/>
      <c r="AM50" s="84">
        <f>IF($A50="","",ROUND(DATEDIF($E50,IF($F50="",PERIODE_DATE,$F50),"m")*1.5,1))</f>
        <v/>
      </c>
      <c r="AN50" s="91" t="n"/>
      <c r="AO50" s="84">
        <f>IF($A50="","",ROUND(N(AL50)+N(AM50)-N(AN50),1))</f>
        <v/>
      </c>
      <c r="AP50" s="90" t="n"/>
      <c r="AQ50" s="90" t="n"/>
    </row>
    <row r="51" ht="15" customHeight="1" s="71">
      <c r="A51" s="91" t="n"/>
      <c r="B51" s="91" t="n"/>
      <c r="C51" s="91" t="n"/>
      <c r="D51" s="91" t="n"/>
      <c r="E51" s="90" t="n"/>
      <c r="F51" s="90" t="n"/>
      <c r="G51" s="91" t="n"/>
      <c r="H51" s="91" t="n"/>
      <c r="I51" s="93" t="n"/>
      <c r="J51" s="101" t="n"/>
      <c r="K51" s="83">
        <f>IF($A51="","",ROUND(N(I51)*N(J51),0))</f>
        <v/>
      </c>
      <c r="L51" s="83">
        <f>IF($A51="","",N(I51)-N(K51))</f>
        <v/>
      </c>
      <c r="M51" s="93" t="n"/>
      <c r="N51" s="91" t="n"/>
      <c r="O51" s="91" t="n"/>
      <c r="P51" s="91" t="n"/>
      <c r="Q51" s="91" t="n"/>
      <c r="R51" s="82">
        <f>IF(OR($A51="",E51=""),"—",IFERROR(DATEDIF(E51,PERIODE_DATE,"Y"),"—"))</f>
        <v/>
      </c>
      <c r="S51" s="92" t="n"/>
      <c r="T51" s="91" t="n"/>
      <c r="U51" s="91" t="n"/>
      <c r="V51" s="91" t="n"/>
      <c r="W51" s="90" t="n"/>
      <c r="X51" s="91" t="n"/>
      <c r="Y51" s="91" t="n"/>
      <c r="Z51" s="91" t="n"/>
      <c r="AA51" s="91" t="n"/>
      <c r="AB51" s="91" t="n"/>
      <c r="AC51" s="91" t="n"/>
      <c r="AD51" s="91" t="n"/>
      <c r="AE51" s="91" t="n"/>
      <c r="AF51" s="91" t="n"/>
      <c r="AG51" s="90" t="n"/>
      <c r="AH51" s="91" t="n"/>
      <c r="AI51" s="91" t="n"/>
      <c r="AJ51" s="91" t="n"/>
      <c r="AK51" s="91" t="n"/>
      <c r="AL51" s="91" t="n"/>
      <c r="AM51" s="84">
        <f>IF($A51="","",ROUND(DATEDIF($E51,IF($F51="",PERIODE_DATE,$F51),"m")*1.5,1))</f>
        <v/>
      </c>
      <c r="AN51" s="91" t="n"/>
      <c r="AO51" s="84">
        <f>IF($A51="","",ROUND(N(AL51)+N(AM51)-N(AN51),1))</f>
        <v/>
      </c>
      <c r="AP51" s="90" t="n"/>
      <c r="AQ51" s="90" t="n"/>
    </row>
    <row r="52" ht="15" customHeight="1" s="71">
      <c r="A52" s="91" t="n"/>
      <c r="B52" s="91" t="n"/>
      <c r="C52" s="91" t="n"/>
      <c r="D52" s="91" t="n"/>
      <c r="E52" s="90" t="n"/>
      <c r="F52" s="90" t="n"/>
      <c r="G52" s="91" t="n"/>
      <c r="H52" s="91" t="n"/>
      <c r="I52" s="93" t="n"/>
      <c r="J52" s="101" t="n"/>
      <c r="K52" s="83">
        <f>IF($A52="","",ROUND(N(I52)*N(J52),0))</f>
        <v/>
      </c>
      <c r="L52" s="83">
        <f>IF($A52="","",N(I52)-N(K52))</f>
        <v/>
      </c>
      <c r="M52" s="93" t="n"/>
      <c r="N52" s="91" t="n"/>
      <c r="O52" s="91" t="n"/>
      <c r="P52" s="91" t="n"/>
      <c r="Q52" s="91" t="n"/>
      <c r="R52" s="82">
        <f>IF(OR($A52="",E52=""),"—",IFERROR(DATEDIF(E52,PERIODE_DATE,"Y"),"—"))</f>
        <v/>
      </c>
      <c r="S52" s="92" t="n"/>
      <c r="T52" s="91" t="n"/>
      <c r="U52" s="91" t="n"/>
      <c r="V52" s="91" t="n"/>
      <c r="W52" s="90" t="n"/>
      <c r="X52" s="91" t="n"/>
      <c r="Y52" s="91" t="n"/>
      <c r="Z52" s="91" t="n"/>
      <c r="AA52" s="91" t="n"/>
      <c r="AB52" s="91" t="n"/>
      <c r="AC52" s="91" t="n"/>
      <c r="AD52" s="91" t="n"/>
      <c r="AE52" s="91" t="n"/>
      <c r="AF52" s="91" t="n"/>
      <c r="AG52" s="90" t="n"/>
      <c r="AH52" s="91" t="n"/>
      <c r="AI52" s="91" t="n"/>
      <c r="AJ52" s="91" t="n"/>
      <c r="AK52" s="91" t="n"/>
      <c r="AL52" s="91" t="n"/>
      <c r="AM52" s="84">
        <f>IF($A52="","",ROUND(DATEDIF($E52,IF($F52="",PERIODE_DATE,$F52),"m")*1.5,1))</f>
        <v/>
      </c>
      <c r="AN52" s="91" t="n"/>
      <c r="AO52" s="84">
        <f>IF($A52="","",ROUND(N(AL52)+N(AM52)-N(AN52),1))</f>
        <v/>
      </c>
      <c r="AP52" s="90" t="n"/>
      <c r="AQ52" s="90" t="n"/>
    </row>
    <row r="53" ht="15" customHeight="1" s="71">
      <c r="A53" s="91" t="n"/>
      <c r="B53" s="91" t="n"/>
      <c r="C53" s="91" t="n"/>
      <c r="D53" s="91" t="n"/>
      <c r="E53" s="90" t="n"/>
      <c r="F53" s="90" t="n"/>
      <c r="G53" s="91" t="n"/>
      <c r="H53" s="91" t="n"/>
      <c r="I53" s="93" t="n"/>
      <c r="J53" s="101" t="n"/>
      <c r="K53" s="83">
        <f>IF($A53="","",ROUND(N(I53)*N(J53),0))</f>
        <v/>
      </c>
      <c r="L53" s="83">
        <f>IF($A53="","",N(I53)-N(K53))</f>
        <v/>
      </c>
      <c r="M53" s="93" t="n"/>
      <c r="N53" s="91" t="n"/>
      <c r="O53" s="91" t="n"/>
      <c r="P53" s="91" t="n"/>
      <c r="Q53" s="91" t="n"/>
      <c r="R53" s="82">
        <f>IF(OR($A53="",E53=""),"—",IFERROR(DATEDIF(E53,PERIODE_DATE,"Y"),"—"))</f>
        <v/>
      </c>
      <c r="S53" s="92" t="n"/>
      <c r="T53" s="91" t="n"/>
      <c r="U53" s="91" t="n"/>
      <c r="V53" s="91" t="n"/>
      <c r="W53" s="90" t="n"/>
      <c r="X53" s="91" t="n"/>
      <c r="Y53" s="91" t="n"/>
      <c r="Z53" s="91" t="n"/>
      <c r="AA53" s="91" t="n"/>
      <c r="AB53" s="91" t="n"/>
      <c r="AC53" s="91" t="n"/>
      <c r="AD53" s="91" t="n"/>
      <c r="AE53" s="91" t="n"/>
      <c r="AF53" s="91" t="n"/>
      <c r="AG53" s="90" t="n"/>
      <c r="AH53" s="91" t="n"/>
      <c r="AI53" s="91" t="n"/>
      <c r="AJ53" s="91" t="n"/>
      <c r="AK53" s="91" t="n"/>
      <c r="AL53" s="91" t="n"/>
      <c r="AM53" s="84">
        <f>IF($A53="","",ROUND(DATEDIF($E53,IF($F53="",PERIODE_DATE,$F53),"m")*1.5,1))</f>
        <v/>
      </c>
      <c r="AN53" s="91" t="n"/>
      <c r="AO53" s="84">
        <f>IF($A53="","",ROUND(N(AL53)+N(AM53)-N(AN53),1))</f>
        <v/>
      </c>
      <c r="AP53" s="90" t="n"/>
      <c r="AQ53" s="90" t="n"/>
    </row>
    <row r="54" ht="15" customHeight="1" s="71">
      <c r="A54" s="91" t="n"/>
      <c r="B54" s="91" t="n"/>
      <c r="C54" s="91" t="n"/>
      <c r="D54" s="91" t="n"/>
      <c r="E54" s="90" t="n"/>
      <c r="F54" s="90" t="n"/>
      <c r="G54" s="91" t="n"/>
      <c r="H54" s="91" t="n"/>
      <c r="I54" s="93" t="n"/>
      <c r="J54" s="101" t="n"/>
      <c r="K54" s="83">
        <f>IF($A54="","",ROUND(N(I54)*N(J54),0))</f>
        <v/>
      </c>
      <c r="L54" s="83">
        <f>IF($A54="","",N(I54)-N(K54))</f>
        <v/>
      </c>
      <c r="M54" s="93" t="n"/>
      <c r="N54" s="91" t="n"/>
      <c r="O54" s="91" t="n"/>
      <c r="P54" s="91" t="n"/>
      <c r="Q54" s="91" t="n"/>
      <c r="R54" s="82">
        <f>IF(OR($A54="",E54=""),"—",IFERROR(DATEDIF(E54,PERIODE_DATE,"Y"),"—"))</f>
        <v/>
      </c>
      <c r="S54" s="92" t="n"/>
      <c r="T54" s="91" t="n"/>
      <c r="U54" s="91" t="n"/>
      <c r="V54" s="91" t="n"/>
      <c r="W54" s="90" t="n"/>
      <c r="X54" s="91" t="n"/>
      <c r="Y54" s="91" t="n"/>
      <c r="Z54" s="91" t="n"/>
      <c r="AA54" s="91" t="n"/>
      <c r="AB54" s="91" t="n"/>
      <c r="AC54" s="91" t="n"/>
      <c r="AD54" s="91" t="n"/>
      <c r="AE54" s="91" t="n"/>
      <c r="AF54" s="91" t="n"/>
      <c r="AG54" s="90" t="n"/>
      <c r="AH54" s="91" t="n"/>
      <c r="AI54" s="91" t="n"/>
      <c r="AJ54" s="91" t="n"/>
      <c r="AK54" s="91" t="n"/>
      <c r="AL54" s="91" t="n"/>
      <c r="AM54" s="84">
        <f>IF($A54="","",ROUND(DATEDIF($E54,IF($F54="",PERIODE_DATE,$F54),"m")*1.5,1))</f>
        <v/>
      </c>
      <c r="AN54" s="91" t="n"/>
      <c r="AO54" s="84">
        <f>IF($A54="","",ROUND(N(AL54)+N(AM54)-N(AN54),1))</f>
        <v/>
      </c>
      <c r="AP54" s="90" t="n"/>
      <c r="AQ54" s="90" t="n"/>
    </row>
    <row r="55" ht="15" customHeight="1" s="71">
      <c r="A55" s="91" t="n"/>
      <c r="B55" s="91" t="n"/>
      <c r="C55" s="91" t="n"/>
      <c r="D55" s="91" t="n"/>
      <c r="E55" s="90" t="n"/>
      <c r="F55" s="90" t="n"/>
      <c r="G55" s="91" t="n"/>
      <c r="H55" s="91" t="n"/>
      <c r="I55" s="93" t="n"/>
      <c r="J55" s="101" t="n"/>
      <c r="K55" s="83">
        <f>IF($A55="","",ROUND(N(I55)*N(J55),0))</f>
        <v/>
      </c>
      <c r="L55" s="83">
        <f>IF($A55="","",N(I55)-N(K55))</f>
        <v/>
      </c>
      <c r="M55" s="93" t="n"/>
      <c r="N55" s="91" t="n"/>
      <c r="O55" s="91" t="n"/>
      <c r="P55" s="91" t="n"/>
      <c r="Q55" s="91" t="n"/>
      <c r="R55" s="82">
        <f>IF(OR($A55="",E55=""),"—",IFERROR(DATEDIF(E55,PERIODE_DATE,"Y"),"—"))</f>
        <v/>
      </c>
      <c r="S55" s="92" t="n"/>
      <c r="T55" s="91" t="n"/>
      <c r="U55" s="91" t="n"/>
      <c r="V55" s="91" t="n"/>
      <c r="W55" s="90" t="n"/>
      <c r="X55" s="91" t="n"/>
      <c r="Y55" s="91" t="n"/>
      <c r="Z55" s="91" t="n"/>
      <c r="AA55" s="91" t="n"/>
      <c r="AB55" s="91" t="n"/>
      <c r="AC55" s="91" t="n"/>
      <c r="AD55" s="91" t="n"/>
      <c r="AE55" s="91" t="n"/>
      <c r="AF55" s="91" t="n"/>
      <c r="AG55" s="90" t="n"/>
      <c r="AH55" s="91" t="n"/>
      <c r="AI55" s="91" t="n"/>
      <c r="AJ55" s="91" t="n"/>
      <c r="AK55" s="91" t="n"/>
      <c r="AL55" s="91" t="n"/>
      <c r="AM55" s="84">
        <f>IF($A55="","",ROUND(DATEDIF($E55,IF($F55="",PERIODE_DATE,$F55),"m")*1.5,1))</f>
        <v/>
      </c>
      <c r="AN55" s="91" t="n"/>
      <c r="AO55" s="84">
        <f>IF($A55="","",ROUND(N(AL55)+N(AM55)-N(AN55),1))</f>
        <v/>
      </c>
      <c r="AP55" s="90" t="n"/>
      <c r="AQ55" s="90" t="n"/>
    </row>
    <row r="56" ht="15" customHeight="1" s="71">
      <c r="A56" s="91" t="n"/>
      <c r="B56" s="91" t="n"/>
      <c r="C56" s="91" t="n"/>
      <c r="D56" s="91" t="n"/>
      <c r="E56" s="90" t="n"/>
      <c r="F56" s="90" t="n"/>
      <c r="G56" s="91" t="n"/>
      <c r="H56" s="91" t="n"/>
      <c r="I56" s="93" t="n"/>
      <c r="J56" s="101" t="n"/>
      <c r="K56" s="83">
        <f>IF($A56="","",ROUND(N(I56)*N(J56),0))</f>
        <v/>
      </c>
      <c r="L56" s="83">
        <f>IF($A56="","",N(I56)-N(K56))</f>
        <v/>
      </c>
      <c r="M56" s="93" t="n"/>
      <c r="N56" s="91" t="n"/>
      <c r="O56" s="91" t="n"/>
      <c r="P56" s="91" t="n"/>
      <c r="Q56" s="91" t="n"/>
      <c r="R56" s="82">
        <f>IF(OR($A56="",E56=""),"—",IFERROR(DATEDIF(E56,PERIODE_DATE,"Y"),"—"))</f>
        <v/>
      </c>
      <c r="S56" s="92" t="n"/>
      <c r="T56" s="91" t="n"/>
      <c r="U56" s="91" t="n"/>
      <c r="V56" s="91" t="n"/>
      <c r="W56" s="90" t="n"/>
      <c r="X56" s="91" t="n"/>
      <c r="Y56" s="91" t="n"/>
      <c r="Z56" s="91" t="n"/>
      <c r="AA56" s="91" t="n"/>
      <c r="AB56" s="91" t="n"/>
      <c r="AC56" s="91" t="n"/>
      <c r="AD56" s="91" t="n"/>
      <c r="AE56" s="91" t="n"/>
      <c r="AF56" s="91" t="n"/>
      <c r="AG56" s="90" t="n"/>
      <c r="AH56" s="91" t="n"/>
      <c r="AI56" s="91" t="n"/>
      <c r="AJ56" s="91" t="n"/>
      <c r="AK56" s="91" t="n"/>
      <c r="AL56" s="91" t="n"/>
      <c r="AM56" s="84">
        <f>IF($A56="","",ROUND(DATEDIF($E56,IF($F56="",PERIODE_DATE,$F56),"m")*1.5,1))</f>
        <v/>
      </c>
      <c r="AN56" s="91" t="n"/>
      <c r="AO56" s="84">
        <f>IF($A56="","",ROUND(N(AL56)+N(AM56)-N(AN56),1))</f>
        <v/>
      </c>
      <c r="AP56" s="90" t="n"/>
      <c r="AQ56" s="90" t="n"/>
    </row>
    <row r="57" ht="15" customHeight="1" s="71">
      <c r="A57" s="91" t="n"/>
      <c r="B57" s="91" t="n"/>
      <c r="C57" s="91" t="n"/>
      <c r="D57" s="91" t="n"/>
      <c r="E57" s="90" t="n"/>
      <c r="F57" s="90" t="n"/>
      <c r="G57" s="91" t="n"/>
      <c r="H57" s="91" t="n"/>
      <c r="I57" s="93" t="n"/>
      <c r="J57" s="101" t="n"/>
      <c r="K57" s="83">
        <f>IF($A57="","",ROUND(N(I57)*N(J57),0))</f>
        <v/>
      </c>
      <c r="L57" s="83">
        <f>IF($A57="","",N(I57)-N(K57))</f>
        <v/>
      </c>
      <c r="M57" s="93" t="n"/>
      <c r="N57" s="91" t="n"/>
      <c r="O57" s="91" t="n"/>
      <c r="P57" s="91" t="n"/>
      <c r="Q57" s="91" t="n"/>
      <c r="R57" s="82">
        <f>IF(OR($A57="",E57=""),"—",IFERROR(DATEDIF(E57,PERIODE_DATE,"Y"),"—"))</f>
        <v/>
      </c>
      <c r="S57" s="92" t="n"/>
      <c r="T57" s="91" t="n"/>
      <c r="U57" s="91" t="n"/>
      <c r="V57" s="91" t="n"/>
      <c r="W57" s="90" t="n"/>
      <c r="X57" s="91" t="n"/>
      <c r="Y57" s="91" t="n"/>
      <c r="Z57" s="91" t="n"/>
      <c r="AA57" s="91" t="n"/>
      <c r="AB57" s="91" t="n"/>
      <c r="AC57" s="91" t="n"/>
      <c r="AD57" s="91" t="n"/>
      <c r="AE57" s="91" t="n"/>
      <c r="AF57" s="91" t="n"/>
      <c r="AG57" s="90" t="n"/>
      <c r="AH57" s="91" t="n"/>
      <c r="AI57" s="91" t="n"/>
      <c r="AJ57" s="91" t="n"/>
      <c r="AK57" s="91" t="n"/>
      <c r="AL57" s="91" t="n"/>
      <c r="AM57" s="84">
        <f>IF($A57="","",ROUND(DATEDIF($E57,IF($F57="",PERIODE_DATE,$F57),"m")*1.5,1))</f>
        <v/>
      </c>
      <c r="AN57" s="91" t="n"/>
      <c r="AO57" s="84">
        <f>IF($A57="","",ROUND(N(AL57)+N(AM57)-N(AN57),1))</f>
        <v/>
      </c>
      <c r="AP57" s="90" t="n"/>
      <c r="AQ57" s="90" t="n"/>
    </row>
    <row r="58" ht="15" customHeight="1" s="71">
      <c r="A58" s="91" t="n"/>
      <c r="B58" s="91" t="n"/>
      <c r="C58" s="91" t="n"/>
      <c r="D58" s="91" t="n"/>
      <c r="E58" s="90" t="n"/>
      <c r="F58" s="90" t="n"/>
      <c r="G58" s="91" t="n"/>
      <c r="H58" s="91" t="n"/>
      <c r="I58" s="93" t="n"/>
      <c r="J58" s="101" t="n"/>
      <c r="K58" s="83">
        <f>IF($A58="","",ROUND(N(I58)*N(J58),0))</f>
        <v/>
      </c>
      <c r="L58" s="83">
        <f>IF($A58="","",N(I58)-N(K58))</f>
        <v/>
      </c>
      <c r="M58" s="93" t="n"/>
      <c r="N58" s="91" t="n"/>
      <c r="O58" s="91" t="n"/>
      <c r="P58" s="91" t="n"/>
      <c r="Q58" s="91" t="n"/>
      <c r="R58" s="82">
        <f>IF(OR($A58="",E58=""),"—",IFERROR(DATEDIF(E58,PERIODE_DATE,"Y"),"—"))</f>
        <v/>
      </c>
      <c r="S58" s="92" t="n"/>
      <c r="T58" s="91" t="n"/>
      <c r="U58" s="91" t="n"/>
      <c r="V58" s="91" t="n"/>
      <c r="W58" s="90" t="n"/>
      <c r="X58" s="91" t="n"/>
      <c r="Y58" s="91" t="n"/>
      <c r="Z58" s="91" t="n"/>
      <c r="AA58" s="91" t="n"/>
      <c r="AB58" s="91" t="n"/>
      <c r="AC58" s="91" t="n"/>
      <c r="AD58" s="91" t="n"/>
      <c r="AE58" s="91" t="n"/>
      <c r="AF58" s="91" t="n"/>
      <c r="AG58" s="90" t="n"/>
      <c r="AH58" s="91" t="n"/>
      <c r="AI58" s="91" t="n"/>
      <c r="AJ58" s="91" t="n"/>
      <c r="AK58" s="91" t="n"/>
      <c r="AL58" s="91" t="n"/>
      <c r="AM58" s="84">
        <f>IF($A58="","",ROUND(DATEDIF($E58,IF($F58="",PERIODE_DATE,$F58),"m")*1.5,1))</f>
        <v/>
      </c>
      <c r="AN58" s="91" t="n"/>
      <c r="AO58" s="84">
        <f>IF($A58="","",ROUND(N(AL58)+N(AM58)-N(AN58),1))</f>
        <v/>
      </c>
      <c r="AP58" s="90" t="n"/>
      <c r="AQ58" s="90" t="n"/>
    </row>
    <row r="59" ht="15" customHeight="1" s="71">
      <c r="A59" s="91" t="n"/>
      <c r="B59" s="91" t="n"/>
      <c r="C59" s="91" t="n"/>
      <c r="D59" s="91" t="n"/>
      <c r="E59" s="90" t="n"/>
      <c r="F59" s="90" t="n"/>
      <c r="G59" s="91" t="n"/>
      <c r="H59" s="91" t="n"/>
      <c r="I59" s="93" t="n"/>
      <c r="J59" s="101" t="n"/>
      <c r="K59" s="83">
        <f>IF($A59="","",ROUND(N(I59)*N(J59),0))</f>
        <v/>
      </c>
      <c r="L59" s="83">
        <f>IF($A59="","",N(I59)-N(K59))</f>
        <v/>
      </c>
      <c r="M59" s="93" t="n"/>
      <c r="N59" s="91" t="n"/>
      <c r="O59" s="91" t="n"/>
      <c r="P59" s="91" t="n"/>
      <c r="Q59" s="91" t="n"/>
      <c r="R59" s="82">
        <f>IF(OR($A59="",E59=""),"—",IFERROR(DATEDIF(E59,PERIODE_DATE,"Y"),"—"))</f>
        <v/>
      </c>
      <c r="S59" s="92" t="n"/>
      <c r="T59" s="91" t="n"/>
      <c r="U59" s="91" t="n"/>
      <c r="V59" s="91" t="n"/>
      <c r="W59" s="90" t="n"/>
      <c r="X59" s="91" t="n"/>
      <c r="Y59" s="91" t="n"/>
      <c r="Z59" s="91" t="n"/>
      <c r="AA59" s="91" t="n"/>
      <c r="AB59" s="91" t="n"/>
      <c r="AC59" s="91" t="n"/>
      <c r="AD59" s="91" t="n"/>
      <c r="AE59" s="91" t="n"/>
      <c r="AF59" s="91" t="n"/>
      <c r="AG59" s="90" t="n"/>
      <c r="AH59" s="91" t="n"/>
      <c r="AI59" s="91" t="n"/>
      <c r="AJ59" s="91" t="n"/>
      <c r="AK59" s="91" t="n"/>
      <c r="AL59" s="91" t="n"/>
      <c r="AM59" s="84">
        <f>IF($A59="","",ROUND(DATEDIF($E59,IF($F59="",PERIODE_DATE,$F59),"m")*1.5,1))</f>
        <v/>
      </c>
      <c r="AN59" s="91" t="n"/>
      <c r="AO59" s="84">
        <f>IF($A59="","",ROUND(N(AL59)+N(AM59)-N(AN59),1))</f>
        <v/>
      </c>
      <c r="AP59" s="90" t="n"/>
      <c r="AQ59" s="90" t="n"/>
    </row>
    <row r="60" ht="15" customHeight="1" s="71">
      <c r="A60" s="91" t="n"/>
      <c r="B60" s="91" t="n"/>
      <c r="C60" s="91" t="n"/>
      <c r="D60" s="91" t="n"/>
      <c r="E60" s="90" t="n"/>
      <c r="F60" s="90" t="n"/>
      <c r="G60" s="91" t="n"/>
      <c r="H60" s="91" t="n"/>
      <c r="I60" s="93" t="n"/>
      <c r="J60" s="101" t="n"/>
      <c r="K60" s="83">
        <f>IF($A60="","",ROUND(N(I60)*N(J60),0))</f>
        <v/>
      </c>
      <c r="L60" s="83">
        <f>IF($A60="","",N(I60)-N(K60))</f>
        <v/>
      </c>
      <c r="M60" s="93" t="n"/>
      <c r="N60" s="91" t="n"/>
      <c r="O60" s="91" t="n"/>
      <c r="P60" s="91" t="n"/>
      <c r="Q60" s="91" t="n"/>
      <c r="R60" s="82">
        <f>IF(OR($A60="",E60=""),"—",IFERROR(DATEDIF(E60,PERIODE_DATE,"Y"),"—"))</f>
        <v/>
      </c>
      <c r="S60" s="92" t="n"/>
      <c r="T60" s="91" t="n"/>
      <c r="U60" s="91" t="n"/>
      <c r="V60" s="91" t="n"/>
      <c r="W60" s="90" t="n"/>
      <c r="X60" s="91" t="n"/>
      <c r="Y60" s="91" t="n"/>
      <c r="Z60" s="91" t="n"/>
      <c r="AA60" s="91" t="n"/>
      <c r="AB60" s="91" t="n"/>
      <c r="AC60" s="91" t="n"/>
      <c r="AD60" s="91" t="n"/>
      <c r="AE60" s="91" t="n"/>
      <c r="AF60" s="91" t="n"/>
      <c r="AG60" s="90" t="n"/>
      <c r="AH60" s="91" t="n"/>
      <c r="AI60" s="91" t="n"/>
      <c r="AJ60" s="91" t="n"/>
      <c r="AK60" s="91" t="n"/>
      <c r="AL60" s="91" t="n"/>
      <c r="AM60" s="84">
        <f>IF($A60="","",ROUND(DATEDIF($E60,IF($F60="",PERIODE_DATE,$F60),"m")*1.5,1))</f>
        <v/>
      </c>
      <c r="AN60" s="91" t="n"/>
      <c r="AO60" s="84">
        <f>IF($A60="","",ROUND(N(AL60)+N(AM60)-N(AN60),1))</f>
        <v/>
      </c>
      <c r="AP60" s="90" t="n"/>
      <c r="AQ60" s="90" t="n"/>
    </row>
    <row r="61" ht="15" customHeight="1" s="71">
      <c r="A61" s="91" t="n"/>
      <c r="B61" s="91" t="n"/>
      <c r="C61" s="91" t="n"/>
      <c r="D61" s="91" t="n"/>
      <c r="E61" s="90" t="n"/>
      <c r="F61" s="90" t="n"/>
      <c r="G61" s="91" t="n"/>
      <c r="H61" s="91" t="n"/>
      <c r="I61" s="93" t="n"/>
      <c r="J61" s="101" t="n"/>
      <c r="K61" s="83">
        <f>IF($A61="","",ROUND(N(I61)*N(J61),0))</f>
        <v/>
      </c>
      <c r="L61" s="83">
        <f>IF($A61="","",N(I61)-N(K61))</f>
        <v/>
      </c>
      <c r="M61" s="93" t="n"/>
      <c r="N61" s="91" t="n"/>
      <c r="O61" s="91" t="n"/>
      <c r="P61" s="91" t="n"/>
      <c r="Q61" s="91" t="n"/>
      <c r="R61" s="82">
        <f>IF(OR($A61="",E61=""),"—",IFERROR(DATEDIF(E61,PERIODE_DATE,"Y"),"—"))</f>
        <v/>
      </c>
      <c r="S61" s="92" t="n"/>
      <c r="T61" s="91" t="n"/>
      <c r="U61" s="91" t="n"/>
      <c r="V61" s="91" t="n"/>
      <c r="W61" s="90" t="n"/>
      <c r="X61" s="91" t="n"/>
      <c r="Y61" s="91" t="n"/>
      <c r="Z61" s="91" t="n"/>
      <c r="AA61" s="91" t="n"/>
      <c r="AB61" s="91" t="n"/>
      <c r="AC61" s="91" t="n"/>
      <c r="AD61" s="91" t="n"/>
      <c r="AE61" s="91" t="n"/>
      <c r="AF61" s="91" t="n"/>
      <c r="AG61" s="90" t="n"/>
      <c r="AH61" s="91" t="n"/>
      <c r="AI61" s="91" t="n"/>
      <c r="AJ61" s="91" t="n"/>
      <c r="AK61" s="91" t="n"/>
      <c r="AL61" s="91" t="n"/>
      <c r="AM61" s="84">
        <f>IF($A61="","",ROUND(DATEDIF($E61,IF($F61="",PERIODE_DATE,$F61),"m")*1.5,1))</f>
        <v/>
      </c>
      <c r="AN61" s="91" t="n"/>
      <c r="AO61" s="84">
        <f>IF($A61="","",ROUND(N(AL61)+N(AM61)-N(AN61),1))</f>
        <v/>
      </c>
      <c r="AP61" s="90" t="n"/>
      <c r="AQ61" s="90" t="n"/>
    </row>
    <row r="62" ht="15" customHeight="1" s="71">
      <c r="A62" s="91" t="n"/>
      <c r="B62" s="91" t="n"/>
      <c r="C62" s="91" t="n"/>
      <c r="D62" s="91" t="n"/>
      <c r="E62" s="90" t="n"/>
      <c r="F62" s="90" t="n"/>
      <c r="G62" s="91" t="n"/>
      <c r="H62" s="91" t="n"/>
      <c r="I62" s="93" t="n"/>
      <c r="J62" s="101" t="n"/>
      <c r="K62" s="83">
        <f>IF($A62="","",ROUND(N(I62)*N(J62),0))</f>
        <v/>
      </c>
      <c r="L62" s="83">
        <f>IF($A62="","",N(I62)-N(K62))</f>
        <v/>
      </c>
      <c r="M62" s="93" t="n"/>
      <c r="N62" s="91" t="n"/>
      <c r="O62" s="91" t="n"/>
      <c r="P62" s="91" t="n"/>
      <c r="Q62" s="91" t="n"/>
      <c r="R62" s="82">
        <f>IF(OR($A62="",E62=""),"—",IFERROR(DATEDIF(E62,PERIODE_DATE,"Y"),"—"))</f>
        <v/>
      </c>
      <c r="S62" s="92" t="n"/>
      <c r="T62" s="91" t="n"/>
      <c r="U62" s="91" t="n"/>
      <c r="V62" s="91" t="n"/>
      <c r="W62" s="90" t="n"/>
      <c r="X62" s="91" t="n"/>
      <c r="Y62" s="91" t="n"/>
      <c r="Z62" s="91" t="n"/>
      <c r="AA62" s="91" t="n"/>
      <c r="AB62" s="91" t="n"/>
      <c r="AC62" s="91" t="n"/>
      <c r="AD62" s="91" t="n"/>
      <c r="AE62" s="91" t="n"/>
      <c r="AF62" s="91" t="n"/>
      <c r="AG62" s="90" t="n"/>
      <c r="AH62" s="91" t="n"/>
      <c r="AI62" s="91" t="n"/>
      <c r="AJ62" s="91" t="n"/>
      <c r="AK62" s="91" t="n"/>
      <c r="AL62" s="91" t="n"/>
      <c r="AM62" s="84">
        <f>IF($A62="","",ROUND(DATEDIF($E62,IF($F62="",PERIODE_DATE,$F62),"m")*1.5,1))</f>
        <v/>
      </c>
      <c r="AN62" s="91" t="n"/>
      <c r="AO62" s="84">
        <f>IF($A62="","",ROUND(N(AL62)+N(AM62)-N(AN62),1))</f>
        <v/>
      </c>
      <c r="AP62" s="90" t="n"/>
      <c r="AQ62" s="90" t="n"/>
    </row>
    <row r="63" ht="15" customHeight="1" s="71">
      <c r="A63" s="91" t="n"/>
      <c r="B63" s="91" t="n"/>
      <c r="C63" s="91" t="n"/>
      <c r="D63" s="91" t="n"/>
      <c r="E63" s="90" t="n"/>
      <c r="F63" s="90" t="n"/>
      <c r="G63" s="91" t="n"/>
      <c r="H63" s="91" t="n"/>
      <c r="I63" s="93" t="n"/>
      <c r="J63" s="101" t="n"/>
      <c r="K63" s="83">
        <f>IF($A63="","",ROUND(N(I63)*N(J63),0))</f>
        <v/>
      </c>
      <c r="L63" s="83">
        <f>IF($A63="","",N(I63)-N(K63))</f>
        <v/>
      </c>
      <c r="M63" s="93" t="n"/>
      <c r="N63" s="91" t="n"/>
      <c r="O63" s="91" t="n"/>
      <c r="P63" s="91" t="n"/>
      <c r="Q63" s="91" t="n"/>
      <c r="R63" s="82">
        <f>IF(OR($A63="",E63=""),"—",IFERROR(DATEDIF(E63,PERIODE_DATE,"Y"),"—"))</f>
        <v/>
      </c>
      <c r="S63" s="92" t="n"/>
      <c r="T63" s="91" t="n"/>
      <c r="U63" s="91" t="n"/>
      <c r="V63" s="91" t="n"/>
      <c r="W63" s="90" t="n"/>
      <c r="X63" s="91" t="n"/>
      <c r="Y63" s="91" t="n"/>
      <c r="Z63" s="91" t="n"/>
      <c r="AA63" s="91" t="n"/>
      <c r="AB63" s="91" t="n"/>
      <c r="AC63" s="91" t="n"/>
      <c r="AD63" s="91" t="n"/>
      <c r="AE63" s="91" t="n"/>
      <c r="AF63" s="91" t="n"/>
      <c r="AG63" s="90" t="n"/>
      <c r="AH63" s="91" t="n"/>
      <c r="AI63" s="91" t="n"/>
      <c r="AJ63" s="91" t="n"/>
      <c r="AK63" s="91" t="n"/>
      <c r="AL63" s="91" t="n"/>
      <c r="AM63" s="84">
        <f>IF($A63="","",ROUND(DATEDIF($E63,IF($F63="",PERIODE_DATE,$F63),"m")*1.5,1))</f>
        <v/>
      </c>
      <c r="AN63" s="91" t="n"/>
      <c r="AO63" s="84">
        <f>IF($A63="","",ROUND(N(AL63)+N(AM63)-N(AN63),1))</f>
        <v/>
      </c>
      <c r="AP63" s="90" t="n"/>
      <c r="AQ63" s="90" t="n"/>
    </row>
    <row r="64" ht="15" customHeight="1" s="71">
      <c r="A64" s="91" t="n"/>
      <c r="B64" s="91" t="n"/>
      <c r="C64" s="91" t="n"/>
      <c r="D64" s="91" t="n"/>
      <c r="E64" s="90" t="n"/>
      <c r="F64" s="90" t="n"/>
      <c r="G64" s="91" t="n"/>
      <c r="H64" s="91" t="n"/>
      <c r="I64" s="93" t="n"/>
      <c r="J64" s="101" t="n"/>
      <c r="K64" s="83">
        <f>IF($A64="","",ROUND(N(I64)*N(J64),0))</f>
        <v/>
      </c>
      <c r="L64" s="83">
        <f>IF($A64="","",N(I64)-N(K64))</f>
        <v/>
      </c>
      <c r="M64" s="93" t="n"/>
      <c r="N64" s="91" t="n"/>
      <c r="O64" s="91" t="n"/>
      <c r="P64" s="91" t="n"/>
      <c r="Q64" s="91" t="n"/>
      <c r="R64" s="82">
        <f>IF(OR($A64="",E64=""),"—",IFERROR(DATEDIF(E64,PERIODE_DATE,"Y"),"—"))</f>
        <v/>
      </c>
      <c r="S64" s="92" t="n"/>
      <c r="T64" s="91" t="n"/>
      <c r="U64" s="91" t="n"/>
      <c r="V64" s="91" t="n"/>
      <c r="W64" s="90" t="n"/>
      <c r="X64" s="91" t="n"/>
      <c r="Y64" s="91" t="n"/>
      <c r="Z64" s="91" t="n"/>
      <c r="AA64" s="91" t="n"/>
      <c r="AB64" s="91" t="n"/>
      <c r="AC64" s="91" t="n"/>
      <c r="AD64" s="91" t="n"/>
      <c r="AE64" s="91" t="n"/>
      <c r="AF64" s="91" t="n"/>
      <c r="AG64" s="90" t="n"/>
      <c r="AH64" s="91" t="n"/>
      <c r="AI64" s="91" t="n"/>
      <c r="AJ64" s="91" t="n"/>
      <c r="AK64" s="91" t="n"/>
      <c r="AL64" s="91" t="n"/>
      <c r="AM64" s="84">
        <f>IF($A64="","",ROUND(DATEDIF($E64,IF($F64="",PERIODE_DATE,$F64),"m")*1.5,1))</f>
        <v/>
      </c>
      <c r="AN64" s="91" t="n"/>
      <c r="AO64" s="84">
        <f>IF($A64="","",ROUND(N(AL64)+N(AM64)-N(AN64),1))</f>
        <v/>
      </c>
      <c r="AP64" s="90" t="n"/>
      <c r="AQ64" s="90" t="n"/>
    </row>
  </sheetData>
  <mergeCells count="2">
    <mergeCell ref="A1:AQ1"/>
    <mergeCell ref="A2:AQ2"/>
  </mergeCells>
  <dataValidations count="6">
    <dataValidation sqref="N5:N64" showDropDown="0" showInputMessage="0" showErrorMessage="0" allowBlank="1" type="list" errorStyle="stop" operator="between">
      <formula1>"Actif,Suspendu,Sorti,À pourvoir"</formula1>
      <formula2>0</formula2>
    </dataValidation>
    <dataValidation sqref="U5:V64" showDropDown="0" showInputMessage="0" showErrorMessage="0" allowBlank="1" type="list" errorStyle="stop" operator="between">
      <formula1>"Oui,Non"</formula1>
      <formula2>0</formula2>
    </dataValidation>
    <dataValidation sqref="C5:C64" showDropDown="0" showInputMessage="0" showErrorMessage="0" allowBlank="1" type="list" errorStyle="stop" operator="between">
      <formula1>LISTE_DEPTS</formula1>
      <formula2>0</formula2>
    </dataValidation>
    <dataValidation sqref="Y5:Y64" showDropDown="0" showInputMessage="0" showErrorMessage="0" allowBlank="1" type="list" errorStyle="stop" operator="between">
      <formula1>"H,F"</formula1>
      <formula2>0</formula2>
    </dataValidation>
    <dataValidation sqref="Z5:Z64" showDropDown="0" showInputMessage="0" showErrorMessage="0" allowBlank="1" type="list" errorStyle="stop" operator="between">
      <formula1>"Célibataire,Marié(e),Divorcé(e),Veuf(ve)"</formula1>
      <formula2>0</formula2>
    </dataValidation>
    <dataValidation sqref="AF5:AF64" showDropDown="0" showInputMessage="0" showErrorMessage="0" allowBlank="1" type="list" errorStyle="stop" operator="between">
      <formula1>"CDI,CDD,Stage,Consultant"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5.xml><?xml version="1.0" encoding="utf-8"?>
<worksheet xmlns="http://schemas.openxmlformats.org/spreadsheetml/2006/main">
  <sheetPr filterMode="0">
    <outlinePr summaryBelow="1" summaryRight="1"/>
    <pageSetUpPr fitToPage="0"/>
  </sheetPr>
  <dimension ref="A1:I1040"/>
  <sheetViews>
    <sheetView showFormulas="0" showGridLines="1" showRowColHeaders="1" showZeros="1" rightToLeft="0" tabSelected="0" showOutlineSymbols="1" defaultGridColor="1" view="normal" topLeftCell="A13" colorId="64" zoomScale="100" zoomScaleNormal="100" zoomScalePageLayoutView="100" workbookViewId="0">
      <selection pane="topLeft" activeCell="B57" activeCellId="0" sqref="B57"/>
    </sheetView>
  </sheetViews>
  <sheetFormatPr baseColWidth="8" defaultColWidth="8.71484375" defaultRowHeight="15" zeroHeight="0" outlineLevelRow="0"/>
  <cols>
    <col width="16" customWidth="1" style="70" min="1" max="1"/>
    <col width="32" customWidth="1" style="70" min="2" max="3"/>
    <col width="13" customWidth="1" style="70" min="4" max="9"/>
  </cols>
  <sheetData>
    <row r="1" ht="15.75" customHeight="1" s="71">
      <c r="A1" s="99" t="inlineStr">
        <is>
          <t>RETENUES INTERNES — Prêts, avances, absences, retards (historique complet, toutes périodes)</t>
        </is>
      </c>
    </row>
    <row r="3" ht="15" customHeight="1" s="71">
      <c r="A3" s="80" t="inlineStr">
        <is>
          <t>A. REGISTRE DES PRÊTS AU PERSONNEL</t>
        </is>
      </c>
    </row>
    <row r="4" ht="21.75" customHeight="1" s="71">
      <c r="A4" s="81" t="inlineStr">
        <is>
          <t>Matricule</t>
        </is>
      </c>
      <c r="B4" s="81" t="inlineStr">
        <is>
          <t>Nom &amp; Prénom</t>
        </is>
      </c>
      <c r="C4" s="81" t="inlineStr">
        <is>
          <t>Date d'octroi</t>
        </is>
      </c>
      <c r="D4" s="81" t="inlineStr">
        <is>
          <t>Capital prêté</t>
        </is>
      </c>
      <c r="E4" s="81" t="inlineStr">
        <is>
          <t>Mensualité prévue</t>
        </is>
      </c>
      <c r="F4" s="81" t="inlineStr">
        <is>
          <t>Nb mensualités</t>
        </is>
      </c>
      <c r="G4" s="81" t="inlineStr">
        <is>
          <t>Total remboursé</t>
        </is>
      </c>
      <c r="H4" s="81" t="inlineStr">
        <is>
          <t>Solde restant dû</t>
        </is>
      </c>
      <c r="I4" s="81" t="inlineStr">
        <is>
          <t>Statut</t>
        </is>
      </c>
    </row>
    <row r="5" ht="15" customHeight="1" s="71">
      <c r="A5" s="91" t="inlineStr">
        <is>
          <t>EE-0001</t>
        </is>
      </c>
      <c r="B5" s="82">
        <f>IF($A5="","",IFERROR(VLOOKUP($A5,Employés!$A:$B,2,0),""))</f>
        <v/>
      </c>
      <c r="C5" s="90" t="n">
        <v>46021</v>
      </c>
      <c r="D5" s="93" t="n">
        <v>1000000</v>
      </c>
      <c r="E5" s="93" t="n">
        <v>100000</v>
      </c>
      <c r="F5" s="91" t="n">
        <v>10</v>
      </c>
      <c r="G5" s="83">
        <f>IF($A5="","",SUMIFS($E$41:$E$1040,$B$41:$B$1040,$A5))</f>
        <v/>
      </c>
      <c r="H5" s="83">
        <f>IF($A5="","",MAX(N(D5)-N(G5),0))</f>
        <v/>
      </c>
      <c r="I5" s="82">
        <f>IF($A5="","",IF(H5&lt;=0,"Soldé","En cours"))</f>
        <v/>
      </c>
    </row>
    <row r="6" ht="15" customHeight="1" s="71">
      <c r="A6" s="91" t="inlineStr">
        <is>
          <t>EE-0005</t>
        </is>
      </c>
      <c r="B6" s="82">
        <f>IF($A6="","",IFERROR(VLOOKUP($A6,Employés!$A:$B,2,0),""))</f>
        <v/>
      </c>
      <c r="C6" s="90" t="n">
        <v>46072</v>
      </c>
      <c r="D6" s="93" t="n">
        <v>250000</v>
      </c>
      <c r="E6" s="93" t="n">
        <v>25000</v>
      </c>
      <c r="F6" s="91" t="n">
        <v>10</v>
      </c>
      <c r="G6" s="83">
        <f>IF($A6="","",SUMIFS($E$41:$E$1040,$B$41:$B$1040,$A6))</f>
        <v/>
      </c>
      <c r="H6" s="83">
        <f>IF($A6="","",MAX(N(D6)-N(G6),0))</f>
        <v/>
      </c>
      <c r="I6" s="82">
        <f>IF($A6="","",IF(H6&lt;=0,"Soldé","En cours"))</f>
        <v/>
      </c>
    </row>
    <row r="7" ht="15" customHeight="1" s="71">
      <c r="A7" s="91" t="inlineStr">
        <is>
          <t>EE-0002</t>
        </is>
      </c>
      <c r="B7" s="82">
        <f>IF($A7="","",IFERROR(VLOOKUP($A7,Employés!$A:$B,2,0),""))</f>
        <v/>
      </c>
      <c r="C7" s="90" t="n">
        <v>46378</v>
      </c>
      <c r="D7" s="93" t="n">
        <v>680000</v>
      </c>
      <c r="E7" s="93" t="n">
        <v>100000</v>
      </c>
      <c r="F7" s="91" t="n">
        <v>7</v>
      </c>
      <c r="G7" s="83">
        <f>IF($A7="","",SUMIFS($E$41:$E$1040,$B$41:$B$1040,$A7))</f>
        <v/>
      </c>
      <c r="H7" s="83">
        <f>IF($A7="","",MAX(N(D7)-N(G7),0))</f>
        <v/>
      </c>
      <c r="I7" s="82">
        <f>IF($A7="","",IF(H7&lt;=0,"Soldé","En cours"))</f>
        <v/>
      </c>
    </row>
    <row r="8" ht="15" customHeight="1" s="71">
      <c r="A8" s="91" t="n"/>
      <c r="B8" s="82">
        <f>IF($A8="","",IFERROR(VLOOKUP($A8,Employés!$A:$B,2,0),""))</f>
        <v/>
      </c>
      <c r="C8" s="90" t="n"/>
      <c r="D8" s="93" t="n"/>
      <c r="E8" s="93" t="n"/>
      <c r="F8" s="91" t="n"/>
      <c r="G8" s="83">
        <f>IF($A8="","",SUMIFS($E$41:$E$1040,$B$41:$B$1040,$A8))</f>
        <v/>
      </c>
      <c r="H8" s="83">
        <f>IF($A8="","",MAX(N(D8)-N(G8),0))</f>
        <v/>
      </c>
      <c r="I8" s="82">
        <f>IF($A8="","",IF(H8&lt;=0,"Soldé","En cours"))</f>
        <v/>
      </c>
    </row>
    <row r="9" ht="15" customHeight="1" s="71">
      <c r="A9" s="91" t="n"/>
      <c r="B9" s="82">
        <f>IF($A9="","",IFERROR(VLOOKUP($A9,Employés!$A:$B,2,0),""))</f>
        <v/>
      </c>
      <c r="C9" s="90" t="n"/>
      <c r="D9" s="93" t="n"/>
      <c r="E9" s="93" t="n"/>
      <c r="F9" s="91" t="n"/>
      <c r="G9" s="83">
        <f>IF($A9="","",SUMIFS($E$41:$E$1040,$B$41:$B$1040,$A9))</f>
        <v/>
      </c>
      <c r="H9" s="83">
        <f>IF($A9="","",MAX(N(D9)-N(G9),0))</f>
        <v/>
      </c>
      <c r="I9" s="82">
        <f>IF($A9="","",IF(H9&lt;=0,"Soldé","En cours"))</f>
        <v/>
      </c>
    </row>
    <row r="10" ht="15" customHeight="1" s="71">
      <c r="A10" s="91" t="n"/>
      <c r="B10" s="82">
        <f>IF($A10="","",IFERROR(VLOOKUP($A10,Employés!$A:$B,2,0),""))</f>
        <v/>
      </c>
      <c r="C10" s="90" t="n"/>
      <c r="D10" s="93" t="n"/>
      <c r="E10" s="93" t="n"/>
      <c r="F10" s="91" t="n"/>
      <c r="G10" s="83">
        <f>IF($A10="","",SUMIFS($E$41:$E$1040,$B$41:$B$1040,$A10))</f>
        <v/>
      </c>
      <c r="H10" s="83">
        <f>IF($A10="","",MAX(N(D10)-N(G10),0))</f>
        <v/>
      </c>
      <c r="I10" s="82">
        <f>IF($A10="","",IF(H10&lt;=0,"Soldé","En cours"))</f>
        <v/>
      </c>
    </row>
    <row r="11" ht="15" customHeight="1" s="71">
      <c r="A11" s="91" t="n"/>
      <c r="B11" s="82">
        <f>IF($A11="","",IFERROR(VLOOKUP($A11,Employés!$A:$B,2,0),""))</f>
        <v/>
      </c>
      <c r="C11" s="90" t="n"/>
      <c r="D11" s="93" t="n"/>
      <c r="E11" s="93" t="n"/>
      <c r="F11" s="91" t="n"/>
      <c r="G11" s="83">
        <f>IF($A11="","",SUMIFS($E$41:$E$1040,$B$41:$B$1040,$A11))</f>
        <v/>
      </c>
      <c r="H11" s="83">
        <f>IF($A11="","",MAX(N(D11)-N(G11),0))</f>
        <v/>
      </c>
      <c r="I11" s="82">
        <f>IF($A11="","",IF(H11&lt;=0,"Soldé","En cours"))</f>
        <v/>
      </c>
    </row>
    <row r="12" ht="15" customHeight="1" s="71">
      <c r="A12" s="91" t="n"/>
      <c r="B12" s="82">
        <f>IF($A12="","",IFERROR(VLOOKUP($A12,Employés!$A:$B,2,0),""))</f>
        <v/>
      </c>
      <c r="C12" s="90" t="n"/>
      <c r="D12" s="93" t="n"/>
      <c r="E12" s="93" t="n"/>
      <c r="F12" s="91" t="n"/>
      <c r="G12" s="83">
        <f>IF($A12="","",SUMIFS($E$41:$E$1040,$B$41:$B$1040,$A12))</f>
        <v/>
      </c>
      <c r="H12" s="83">
        <f>IF($A12="","",MAX(N(D12)-N(G12),0))</f>
        <v/>
      </c>
      <c r="I12" s="82">
        <f>IF($A12="","",IF(H12&lt;=0,"Soldé","En cours"))</f>
        <v/>
      </c>
    </row>
    <row r="13" ht="15" customHeight="1" s="71">
      <c r="A13" s="91" t="n"/>
      <c r="B13" s="82">
        <f>IF($A13="","",IFERROR(VLOOKUP($A13,Employés!$A:$B,2,0),""))</f>
        <v/>
      </c>
      <c r="C13" s="90" t="n"/>
      <c r="D13" s="93" t="n"/>
      <c r="E13" s="93" t="n"/>
      <c r="F13" s="91" t="n"/>
      <c r="G13" s="83">
        <f>IF($A13="","",SUMIFS($E$41:$E$1040,$B$41:$B$1040,$A13))</f>
        <v/>
      </c>
      <c r="H13" s="83">
        <f>IF($A13="","",MAX(N(D13)-N(G13),0))</f>
        <v/>
      </c>
      <c r="I13" s="82">
        <f>IF($A13="","",IF(H13&lt;=0,"Soldé","En cours"))</f>
        <v/>
      </c>
    </row>
    <row r="14" ht="15" customHeight="1" s="71">
      <c r="A14" s="91" t="n"/>
      <c r="B14" s="82">
        <f>IF($A14="","",IFERROR(VLOOKUP($A14,Employés!$A:$B,2,0),""))</f>
        <v/>
      </c>
      <c r="C14" s="90" t="n"/>
      <c r="D14" s="93" t="n"/>
      <c r="E14" s="93" t="n"/>
      <c r="F14" s="91" t="n"/>
      <c r="G14" s="83">
        <f>IF($A14="","",SUMIFS($E$41:$E$1040,$B$41:$B$1040,$A14))</f>
        <v/>
      </c>
      <c r="H14" s="83">
        <f>IF($A14="","",MAX(N(D14)-N(G14),0))</f>
        <v/>
      </c>
      <c r="I14" s="82">
        <f>IF($A14="","",IF(H14&lt;=0,"Soldé","En cours"))</f>
        <v/>
      </c>
    </row>
    <row r="15" ht="15" customHeight="1" s="71">
      <c r="A15" s="91" t="n"/>
      <c r="B15" s="82">
        <f>IF($A15="","",IFERROR(VLOOKUP($A15,Employés!$A:$B,2,0),""))</f>
        <v/>
      </c>
      <c r="C15" s="90" t="n"/>
      <c r="D15" s="93" t="n"/>
      <c r="E15" s="93" t="n"/>
      <c r="F15" s="91" t="n"/>
      <c r="G15" s="83">
        <f>IF($A15="","",SUMIFS($E$41:$E$1040,$B$41:$B$1040,$A15))</f>
        <v/>
      </c>
      <c r="H15" s="83">
        <f>IF($A15="","",MAX(N(D15)-N(G15),0))</f>
        <v/>
      </c>
      <c r="I15" s="82">
        <f>IF($A15="","",IF(H15&lt;=0,"Soldé","En cours"))</f>
        <v/>
      </c>
    </row>
    <row r="16" ht="15" customHeight="1" s="71">
      <c r="A16" s="91" t="n"/>
      <c r="B16" s="82">
        <f>IF($A16="","",IFERROR(VLOOKUP($A16,Employés!$A:$B,2,0),""))</f>
        <v/>
      </c>
      <c r="C16" s="90" t="n"/>
      <c r="D16" s="93" t="n"/>
      <c r="E16" s="93" t="n"/>
      <c r="F16" s="91" t="n"/>
      <c r="G16" s="83">
        <f>IF($A16="","",SUMIFS($E$41:$E$1040,$B$41:$B$1040,$A16))</f>
        <v/>
      </c>
      <c r="H16" s="83">
        <f>IF($A16="","",MAX(N(D16)-N(G16),0))</f>
        <v/>
      </c>
      <c r="I16" s="82">
        <f>IF($A16="","",IF(H16&lt;=0,"Soldé","En cours"))</f>
        <v/>
      </c>
    </row>
    <row r="17" ht="15" customHeight="1" s="71">
      <c r="A17" s="91" t="n"/>
      <c r="B17" s="82">
        <f>IF($A17="","",IFERROR(VLOOKUP($A17,Employés!$A:$B,2,0),""))</f>
        <v/>
      </c>
      <c r="C17" s="90" t="n"/>
      <c r="D17" s="93" t="n"/>
      <c r="E17" s="93" t="n"/>
      <c r="F17" s="91" t="n"/>
      <c r="G17" s="83">
        <f>IF($A17="","",SUMIFS($E$41:$E$1040,$B$41:$B$1040,$A17))</f>
        <v/>
      </c>
      <c r="H17" s="83">
        <f>IF($A17="","",MAX(N(D17)-N(G17),0))</f>
        <v/>
      </c>
      <c r="I17" s="82">
        <f>IF($A17="","",IF(H17&lt;=0,"Soldé","En cours"))</f>
        <v/>
      </c>
    </row>
    <row r="18" ht="15" customHeight="1" s="71">
      <c r="A18" s="91" t="n"/>
      <c r="B18" s="82">
        <f>IF($A18="","",IFERROR(VLOOKUP($A18,Employés!$A:$B,2,0),""))</f>
        <v/>
      </c>
      <c r="C18" s="90" t="n"/>
      <c r="D18" s="93" t="n"/>
      <c r="E18" s="93" t="n"/>
      <c r="F18" s="91" t="n"/>
      <c r="G18" s="83">
        <f>IF($A18="","",SUMIFS($E$41:$E$1040,$B$41:$B$1040,$A18))</f>
        <v/>
      </c>
      <c r="H18" s="83">
        <f>IF($A18="","",MAX(N(D18)-N(G18),0))</f>
        <v/>
      </c>
      <c r="I18" s="82">
        <f>IF($A18="","",IF(H18&lt;=0,"Soldé","En cours"))</f>
        <v/>
      </c>
    </row>
    <row r="19" ht="15" customHeight="1" s="71">
      <c r="A19" s="91" t="n"/>
      <c r="B19" s="82">
        <f>IF($A19="","",IFERROR(VLOOKUP($A19,Employés!$A:$B,2,0),""))</f>
        <v/>
      </c>
      <c r="C19" s="90" t="n"/>
      <c r="D19" s="93" t="n"/>
      <c r="E19" s="93" t="n"/>
      <c r="F19" s="91" t="n"/>
      <c r="G19" s="83">
        <f>IF($A19="","",SUMIFS($E$41:$E$1040,$B$41:$B$1040,$A19))</f>
        <v/>
      </c>
      <c r="H19" s="83">
        <f>IF($A19="","",MAX(N(D19)-N(G19),0))</f>
        <v/>
      </c>
      <c r="I19" s="82">
        <f>IF($A19="","",IF(H19&lt;=0,"Soldé","En cours"))</f>
        <v/>
      </c>
    </row>
    <row r="20" ht="15" customHeight="1" s="71">
      <c r="A20" s="91" t="n"/>
      <c r="B20" s="82">
        <f>IF($A20="","",IFERROR(VLOOKUP($A20,Employés!$A:$B,2,0),""))</f>
        <v/>
      </c>
      <c r="C20" s="90" t="n"/>
      <c r="D20" s="93" t="n"/>
      <c r="E20" s="93" t="n"/>
      <c r="F20" s="91" t="n"/>
      <c r="G20" s="83">
        <f>IF($A20="","",SUMIFS($E$41:$E$1040,$B$41:$B$1040,$A20))</f>
        <v/>
      </c>
      <c r="H20" s="83">
        <f>IF($A20="","",MAX(N(D20)-N(G20),0))</f>
        <v/>
      </c>
      <c r="I20" s="82">
        <f>IF($A20="","",IF(H20&lt;=0,"Soldé","En cours"))</f>
        <v/>
      </c>
    </row>
    <row r="21" ht="15" customHeight="1" s="71">
      <c r="A21" s="91" t="n"/>
      <c r="B21" s="82">
        <f>IF($A21="","",IFERROR(VLOOKUP($A21,Employés!$A:$B,2,0),""))</f>
        <v/>
      </c>
      <c r="C21" s="90" t="n"/>
      <c r="D21" s="93" t="n"/>
      <c r="E21" s="93" t="n"/>
      <c r="F21" s="91" t="n"/>
      <c r="G21" s="83">
        <f>IF($A21="","",SUMIFS($E$41:$E$1040,$B$41:$B$1040,$A21))</f>
        <v/>
      </c>
      <c r="H21" s="83">
        <f>IF($A21="","",MAX(N(D21)-N(G21),0))</f>
        <v/>
      </c>
      <c r="I21" s="82">
        <f>IF($A21="","",IF(H21&lt;=0,"Soldé","En cours"))</f>
        <v/>
      </c>
    </row>
    <row r="22" ht="15" customHeight="1" s="71">
      <c r="A22" s="91" t="n"/>
      <c r="B22" s="82">
        <f>IF($A22="","",IFERROR(VLOOKUP($A22,Employés!$A:$B,2,0),""))</f>
        <v/>
      </c>
      <c r="C22" s="90" t="n"/>
      <c r="D22" s="93" t="n"/>
      <c r="E22" s="93" t="n"/>
      <c r="F22" s="91" t="n"/>
      <c r="G22" s="83">
        <f>IF($A22="","",SUMIFS($E$41:$E$1040,$B$41:$B$1040,$A22))</f>
        <v/>
      </c>
      <c r="H22" s="83">
        <f>IF($A22="","",MAX(N(D22)-N(G22),0))</f>
        <v/>
      </c>
      <c r="I22" s="82">
        <f>IF($A22="","",IF(H22&lt;=0,"Soldé","En cours"))</f>
        <v/>
      </c>
    </row>
    <row r="23" ht="15" customHeight="1" s="71">
      <c r="A23" s="91" t="n"/>
      <c r="B23" s="82">
        <f>IF($A23="","",IFERROR(VLOOKUP($A23,Employés!$A:$B,2,0),""))</f>
        <v/>
      </c>
      <c r="C23" s="90" t="n"/>
      <c r="D23" s="93" t="n"/>
      <c r="E23" s="93" t="n"/>
      <c r="F23" s="91" t="n"/>
      <c r="G23" s="83">
        <f>IF($A23="","",SUMIFS($E$41:$E$1040,$B$41:$B$1040,$A23))</f>
        <v/>
      </c>
      <c r="H23" s="83">
        <f>IF($A23="","",MAX(N(D23)-N(G23),0))</f>
        <v/>
      </c>
      <c r="I23" s="82">
        <f>IF($A23="","",IF(H23&lt;=0,"Soldé","En cours"))</f>
        <v/>
      </c>
    </row>
    <row r="24" ht="15" customHeight="1" s="71">
      <c r="A24" s="91" t="n"/>
      <c r="B24" s="82">
        <f>IF($A24="","",IFERROR(VLOOKUP($A24,Employés!$A:$B,2,0),""))</f>
        <v/>
      </c>
      <c r="C24" s="90" t="n"/>
      <c r="D24" s="93" t="n"/>
      <c r="E24" s="93" t="n"/>
      <c r="F24" s="91" t="n"/>
      <c r="G24" s="83">
        <f>IF($A24="","",SUMIFS($E$41:$E$1040,$B$41:$B$1040,$A24))</f>
        <v/>
      </c>
      <c r="H24" s="83">
        <f>IF($A24="","",MAX(N(D24)-N(G24),0))</f>
        <v/>
      </c>
      <c r="I24" s="82">
        <f>IF($A24="","",IF(H24&lt;=0,"Soldé","En cours"))</f>
        <v/>
      </c>
    </row>
    <row r="25" ht="15" customHeight="1" s="71">
      <c r="A25" s="91" t="n"/>
      <c r="B25" s="82">
        <f>IF($A25="","",IFERROR(VLOOKUP($A25,Employés!$A:$B,2,0),""))</f>
        <v/>
      </c>
      <c r="C25" s="90" t="n"/>
      <c r="D25" s="93" t="n"/>
      <c r="E25" s="93" t="n"/>
      <c r="F25" s="91" t="n"/>
      <c r="G25" s="83">
        <f>IF($A25="","",SUMIFS($E$41:$E$1040,$B$41:$B$1040,$A25))</f>
        <v/>
      </c>
      <c r="H25" s="83">
        <f>IF($A25="","",MAX(N(D25)-N(G25),0))</f>
        <v/>
      </c>
      <c r="I25" s="82">
        <f>IF($A25="","",IF(H25&lt;=0,"Soldé","En cours"))</f>
        <v/>
      </c>
    </row>
    <row r="26" ht="15" customHeight="1" s="71">
      <c r="A26" s="91" t="n"/>
      <c r="B26" s="82">
        <f>IF($A26="","",IFERROR(VLOOKUP($A26,Employés!$A:$B,2,0),""))</f>
        <v/>
      </c>
      <c r="C26" s="90" t="n"/>
      <c r="D26" s="93" t="n"/>
      <c r="E26" s="93" t="n"/>
      <c r="F26" s="91" t="n"/>
      <c r="G26" s="83">
        <f>IF($A26="","",SUMIFS($E$41:$E$1040,$B$41:$B$1040,$A26))</f>
        <v/>
      </c>
      <c r="H26" s="83">
        <f>IF($A26="","",MAX(N(D26)-N(G26),0))</f>
        <v/>
      </c>
      <c r="I26" s="82">
        <f>IF($A26="","",IF(H26&lt;=0,"Soldé","En cours"))</f>
        <v/>
      </c>
    </row>
    <row r="27" ht="15" customHeight="1" s="71">
      <c r="A27" s="91" t="n"/>
      <c r="B27" s="82">
        <f>IF($A27="","",IFERROR(VLOOKUP($A27,Employés!$A:$B,2,0),""))</f>
        <v/>
      </c>
      <c r="C27" s="90" t="n"/>
      <c r="D27" s="93" t="n"/>
      <c r="E27" s="93" t="n"/>
      <c r="F27" s="91" t="n"/>
      <c r="G27" s="83">
        <f>IF($A27="","",SUMIFS($E$41:$E$1040,$B$41:$B$1040,$A27))</f>
        <v/>
      </c>
      <c r="H27" s="83">
        <f>IF($A27="","",MAX(N(D27)-N(G27),0))</f>
        <v/>
      </c>
      <c r="I27" s="82">
        <f>IF($A27="","",IF(H27&lt;=0,"Soldé","En cours"))</f>
        <v/>
      </c>
    </row>
    <row r="28" ht="15" customHeight="1" s="71">
      <c r="A28" s="91" t="n"/>
      <c r="B28" s="82">
        <f>IF($A28="","",IFERROR(VLOOKUP($A28,Employés!$A:$B,2,0),""))</f>
        <v/>
      </c>
      <c r="C28" s="90" t="n"/>
      <c r="D28" s="93" t="n"/>
      <c r="E28" s="93" t="n"/>
      <c r="F28" s="91" t="n"/>
      <c r="G28" s="83">
        <f>IF($A28="","",SUMIFS($E$41:$E$1040,$B$41:$B$1040,$A28))</f>
        <v/>
      </c>
      <c r="H28" s="83">
        <f>IF($A28="","",MAX(N(D28)-N(G28),0))</f>
        <v/>
      </c>
      <c r="I28" s="82">
        <f>IF($A28="","",IF(H28&lt;=0,"Soldé","En cours"))</f>
        <v/>
      </c>
    </row>
    <row r="29" ht="15" customHeight="1" s="71">
      <c r="A29" s="91" t="n"/>
      <c r="B29" s="82">
        <f>IF($A29="","",IFERROR(VLOOKUP($A29,Employés!$A:$B,2,0),""))</f>
        <v/>
      </c>
      <c r="C29" s="90" t="n"/>
      <c r="D29" s="93" t="n"/>
      <c r="E29" s="93" t="n"/>
      <c r="F29" s="91" t="n"/>
      <c r="G29" s="83">
        <f>IF($A29="","",SUMIFS($E$41:$E$1040,$B$41:$B$1040,$A29))</f>
        <v/>
      </c>
      <c r="H29" s="83">
        <f>IF($A29="","",MAX(N(D29)-N(G29),0))</f>
        <v/>
      </c>
      <c r="I29" s="82">
        <f>IF($A29="","",IF(H29&lt;=0,"Soldé","En cours"))</f>
        <v/>
      </c>
    </row>
    <row r="30" ht="15" customHeight="1" s="71">
      <c r="A30" s="91" t="n"/>
      <c r="B30" s="82">
        <f>IF($A30="","",IFERROR(VLOOKUP($A30,Employés!$A:$B,2,0),""))</f>
        <v/>
      </c>
      <c r="C30" s="90" t="n"/>
      <c r="D30" s="93" t="n"/>
      <c r="E30" s="93" t="n"/>
      <c r="F30" s="91" t="n"/>
      <c r="G30" s="83">
        <f>IF($A30="","",SUMIFS($E$41:$E$1040,$B$41:$B$1040,$A30))</f>
        <v/>
      </c>
      <c r="H30" s="83">
        <f>IF($A30="","",MAX(N(D30)-N(G30),0))</f>
        <v/>
      </c>
      <c r="I30" s="82">
        <f>IF($A30="","",IF(H30&lt;=0,"Soldé","En cours"))</f>
        <v/>
      </c>
    </row>
    <row r="31" ht="15" customHeight="1" s="71">
      <c r="A31" s="91" t="n"/>
      <c r="B31" s="82">
        <f>IF($A31="","",IFERROR(VLOOKUP($A31,Employés!$A:$B,2,0),""))</f>
        <v/>
      </c>
      <c r="C31" s="90" t="n"/>
      <c r="D31" s="93" t="n"/>
      <c r="E31" s="93" t="n"/>
      <c r="F31" s="91" t="n"/>
      <c r="G31" s="83">
        <f>IF($A31="","",SUMIFS($E$41:$E$1040,$B$41:$B$1040,$A31))</f>
        <v/>
      </c>
      <c r="H31" s="83">
        <f>IF($A31="","",MAX(N(D31)-N(G31),0))</f>
        <v/>
      </c>
      <c r="I31" s="82">
        <f>IF($A31="","",IF(H31&lt;=0,"Soldé","En cours"))</f>
        <v/>
      </c>
    </row>
    <row r="32" ht="15" customHeight="1" s="71">
      <c r="A32" s="91" t="n"/>
      <c r="B32" s="82">
        <f>IF($A32="","",IFERROR(VLOOKUP($A32,Employés!$A:$B,2,0),""))</f>
        <v/>
      </c>
      <c r="C32" s="90" t="n"/>
      <c r="D32" s="93" t="n"/>
      <c r="E32" s="93" t="n"/>
      <c r="F32" s="91" t="n"/>
      <c r="G32" s="83">
        <f>IF($A32="","",SUMIFS($E$41:$E$1040,$B$41:$B$1040,$A32))</f>
        <v/>
      </c>
      <c r="H32" s="83">
        <f>IF($A32="","",MAX(N(D32)-N(G32),0))</f>
        <v/>
      </c>
      <c r="I32" s="82">
        <f>IF($A32="","",IF(H32&lt;=0,"Soldé","En cours"))</f>
        <v/>
      </c>
    </row>
    <row r="33" ht="15" customHeight="1" s="71">
      <c r="A33" s="91" t="n"/>
      <c r="B33" s="82">
        <f>IF($A33="","",IFERROR(VLOOKUP($A33,Employés!$A:$B,2,0),""))</f>
        <v/>
      </c>
      <c r="C33" s="90" t="n"/>
      <c r="D33" s="93" t="n"/>
      <c r="E33" s="93" t="n"/>
      <c r="F33" s="91" t="n"/>
      <c r="G33" s="83">
        <f>IF($A33="","",SUMIFS($E$41:$E$1040,$B$41:$B$1040,$A33))</f>
        <v/>
      </c>
      <c r="H33" s="83">
        <f>IF($A33="","",MAX(N(D33)-N(G33),0))</f>
        <v/>
      </c>
      <c r="I33" s="82">
        <f>IF($A33="","",IF(H33&lt;=0,"Soldé","En cours"))</f>
        <v/>
      </c>
    </row>
    <row r="34" ht="15" customHeight="1" s="71">
      <c r="A34" s="91" t="n"/>
      <c r="B34" s="82">
        <f>IF($A34="","",IFERROR(VLOOKUP($A34,Employés!$A:$B,2,0),""))</f>
        <v/>
      </c>
      <c r="C34" s="90" t="n"/>
      <c r="D34" s="93" t="n"/>
      <c r="E34" s="93" t="n"/>
      <c r="F34" s="91" t="n"/>
      <c r="G34" s="83">
        <f>IF($A34="","",SUMIFS($E$41:$E$1040,$B$41:$B$1040,$A34))</f>
        <v/>
      </c>
      <c r="H34" s="83">
        <f>IF($A34="","",MAX(N(D34)-N(G34),0))</f>
        <v/>
      </c>
      <c r="I34" s="82">
        <f>IF($A34="","",IF(H34&lt;=0,"Soldé","En cours"))</f>
        <v/>
      </c>
    </row>
    <row r="36" ht="15" customHeight="1" s="71">
      <c r="A36" s="88" t="inlineStr">
        <is>
          <t>TOTAL PRÊTS</t>
        </is>
      </c>
      <c r="D36" s="103">
        <f>SUM(D5:D34)</f>
        <v/>
      </c>
      <c r="G36" s="103">
        <f>SUM(G5:G34)</f>
        <v/>
      </c>
      <c r="H36" s="103">
        <f>SUM(H5:H34)</f>
        <v/>
      </c>
    </row>
    <row r="38" ht="28.5" customHeight="1" s="71">
      <c r="A38" s="104" t="inlineStr">
        <is>
          <t>B. JOURNAL DES RETENUES INTERNES — une ligne par salarié et par mois concerné. Période = 1er jour du mois (ex. 01/07/2026). Capacité : 1 000 lignes (~16 ans à 5 salariés).</t>
        </is>
      </c>
    </row>
    <row r="40" ht="32.25" customHeight="1" s="71">
      <c r="A40" s="81" t="inlineStr">
        <is>
          <t>Période (1er du mois)</t>
        </is>
      </c>
      <c r="B40" s="81" t="inlineStr">
        <is>
          <t>Matricule</t>
        </is>
      </c>
      <c r="C40" s="81" t="inlineStr">
        <is>
          <t>Nom &amp; Prénom</t>
        </is>
      </c>
      <c r="D40" s="81" t="inlineStr">
        <is>
          <t>Avance sur salaire</t>
        </is>
      </c>
      <c r="E40" s="81" t="inlineStr">
        <is>
          <t>Remboursement prêt</t>
        </is>
      </c>
      <c r="F40" s="81" t="inlineStr">
        <is>
          <t>Retenue absence injustifiée</t>
        </is>
      </c>
      <c r="G40" s="81" t="inlineStr">
        <is>
          <t>Retenue retard</t>
        </is>
      </c>
      <c r="H40" s="81" t="inlineStr">
        <is>
          <t>Autres retenues</t>
        </is>
      </c>
      <c r="I40" s="81" t="inlineStr">
        <is>
          <t>TOTAL du mois</t>
        </is>
      </c>
    </row>
    <row r="41" ht="15" customHeight="1" s="71">
      <c r="A41" s="90" t="n">
        <v>45962</v>
      </c>
      <c r="B41" s="91" t="inlineStr">
        <is>
          <t>EE-0001</t>
        </is>
      </c>
      <c r="C41" s="89">
        <f>IF(OR($A41="",$B41=""),"",IFERROR(VLOOKUP($B41,Employés!$A:$B,2,0),""))</f>
        <v/>
      </c>
      <c r="D41" s="93" t="n"/>
      <c r="E41" s="93" t="n">
        <v>100000</v>
      </c>
      <c r="F41" s="93" t="n"/>
      <c r="G41" s="93" t="n"/>
      <c r="H41" s="93" t="n"/>
      <c r="I41" s="105">
        <f>IF($A41="","",SUM(D41:H41))</f>
        <v/>
      </c>
    </row>
    <row r="42" ht="15" customHeight="1" s="71">
      <c r="A42" s="90" t="n">
        <v>45992</v>
      </c>
      <c r="B42" s="91" t="inlineStr">
        <is>
          <t>EE-0001</t>
        </is>
      </c>
      <c r="C42" s="89">
        <f>IF(OR($A42="",$B42=""),"",IFERROR(VLOOKUP($B42,Employés!$A:$B,2,0),""))</f>
        <v/>
      </c>
      <c r="D42" s="93" t="n"/>
      <c r="E42" s="93" t="n">
        <v>100000</v>
      </c>
      <c r="F42" s="93" t="n"/>
      <c r="G42" s="93" t="n"/>
      <c r="H42" s="93" t="n"/>
      <c r="I42" s="105">
        <f>IF($A42="","",SUM(D42:H42))</f>
        <v/>
      </c>
    </row>
    <row r="43" ht="15" customHeight="1" s="71">
      <c r="A43" s="90" t="n">
        <v>46023</v>
      </c>
      <c r="B43" s="91" t="inlineStr">
        <is>
          <t>EE-0001</t>
        </is>
      </c>
      <c r="C43" s="89">
        <f>IF(OR($A43="",$B43=""),"",IFERROR(VLOOKUP($B43,Employés!$A:$B,2,0),""))</f>
        <v/>
      </c>
      <c r="D43" s="93" t="n"/>
      <c r="E43" s="93" t="n">
        <v>100000</v>
      </c>
      <c r="F43" s="93" t="n"/>
      <c r="G43" s="93" t="n"/>
      <c r="H43" s="93" t="n"/>
      <c r="I43" s="105">
        <f>IF($A43="","",SUM(D43:H43))</f>
        <v/>
      </c>
    </row>
    <row r="44" ht="15" customHeight="1" s="71">
      <c r="A44" s="90" t="n">
        <v>46054</v>
      </c>
      <c r="B44" s="91" t="inlineStr">
        <is>
          <t>EE-0001</t>
        </is>
      </c>
      <c r="C44" s="89">
        <f>IF(OR($A44="",$B44=""),"",IFERROR(VLOOKUP($B44,Employés!$A:$B,2,0),""))</f>
        <v/>
      </c>
      <c r="D44" s="93" t="n"/>
      <c r="E44" s="93" t="n">
        <v>100000</v>
      </c>
      <c r="F44" s="93" t="n"/>
      <c r="G44" s="93" t="n"/>
      <c r="H44" s="93" t="n"/>
      <c r="I44" s="105">
        <f>IF($A44="","",SUM(D44:H44))</f>
        <v/>
      </c>
    </row>
    <row r="45" ht="15" customHeight="1" s="71">
      <c r="A45" s="90" t="n">
        <v>46082</v>
      </c>
      <c r="B45" s="91" t="inlineStr">
        <is>
          <t>EE-0001</t>
        </is>
      </c>
      <c r="C45" s="89">
        <f>IF(OR($A45="",$B45=""),"",IFERROR(VLOOKUP($B45,Employés!$A:$B,2,0),""))</f>
        <v/>
      </c>
      <c r="D45" s="93" t="n"/>
      <c r="E45" s="93" t="n">
        <v>100000</v>
      </c>
      <c r="F45" s="93" t="n"/>
      <c r="G45" s="93" t="n"/>
      <c r="H45" s="93" t="n"/>
      <c r="I45" s="105">
        <f>IF($A45="","",SUM(D45:H45))</f>
        <v/>
      </c>
    </row>
    <row r="46" ht="15" customHeight="1" s="71">
      <c r="A46" s="90" t="n">
        <v>46113</v>
      </c>
      <c r="B46" s="91" t="inlineStr">
        <is>
          <t>EE-0001</t>
        </is>
      </c>
      <c r="C46" s="89">
        <f>IF(OR($A46="",$B46=""),"",IFERROR(VLOOKUP($B46,Employés!$A:$B,2,0),""))</f>
        <v/>
      </c>
      <c r="D46" s="93" t="n"/>
      <c r="E46" s="93" t="n">
        <v>100000</v>
      </c>
      <c r="F46" s="93" t="n"/>
      <c r="G46" s="93" t="n"/>
      <c r="H46" s="93" t="n"/>
      <c r="I46" s="105">
        <f>IF($A46="","",SUM(D46:H46))</f>
        <v/>
      </c>
    </row>
    <row r="47" ht="15" customHeight="1" s="71">
      <c r="A47" s="90" t="n">
        <v>46143</v>
      </c>
      <c r="B47" s="91" t="inlineStr">
        <is>
          <t>EE-0001</t>
        </is>
      </c>
      <c r="C47" s="89">
        <f>IF(OR($A47="",$B47=""),"",IFERROR(VLOOKUP($B47,Employés!$A:$B,2,0),""))</f>
        <v/>
      </c>
      <c r="D47" s="93" t="n"/>
      <c r="E47" s="93" t="n">
        <v>100000</v>
      </c>
      <c r="F47" s="93" t="n"/>
      <c r="G47" s="93" t="n"/>
      <c r="H47" s="93" t="n"/>
      <c r="I47" s="105">
        <f>IF($A47="","",SUM(D47:H47))</f>
        <v/>
      </c>
    </row>
    <row r="48" ht="15" customHeight="1" s="71">
      <c r="A48" s="90" t="n">
        <v>46174</v>
      </c>
      <c r="B48" s="91" t="inlineStr">
        <is>
          <t>EE-0001</t>
        </is>
      </c>
      <c r="C48" s="89">
        <f>IF(OR($A48="",$B48=""),"",IFERROR(VLOOKUP($B48,Employés!$A:$B,2,0),""))</f>
        <v/>
      </c>
      <c r="D48" s="93" t="n"/>
      <c r="E48" s="93" t="n">
        <v>100000</v>
      </c>
      <c r="F48" s="93" t="n"/>
      <c r="G48" s="93" t="n"/>
      <c r="H48" s="93" t="n"/>
      <c r="I48" s="105">
        <f>IF($A48="","",SUM(D48:H48))</f>
        <v/>
      </c>
    </row>
    <row r="49" ht="15" customHeight="1" s="71">
      <c r="A49" s="90" t="n">
        <v>46054</v>
      </c>
      <c r="B49" s="91" t="inlineStr">
        <is>
          <t>EE-0005</t>
        </is>
      </c>
      <c r="C49" s="89">
        <f>IF(OR($A49="",$B49=""),"",IFERROR(VLOOKUP($B49,Employés!$A:$B,2,0),""))</f>
        <v/>
      </c>
      <c r="D49" s="93" t="n"/>
      <c r="E49" s="93" t="n">
        <v>25000</v>
      </c>
      <c r="F49" s="93" t="n"/>
      <c r="G49" s="93" t="n"/>
      <c r="H49" s="93" t="n"/>
      <c r="I49" s="105">
        <f>IF($A49="","",SUM(D49:H49))</f>
        <v/>
      </c>
    </row>
    <row r="50" ht="15" customHeight="1" s="71">
      <c r="A50" s="90" t="n">
        <v>46082</v>
      </c>
      <c r="B50" s="91" t="inlineStr">
        <is>
          <t>EE-0005</t>
        </is>
      </c>
      <c r="C50" s="89">
        <f>IF(OR($A50="",$B50=""),"",IFERROR(VLOOKUP($B50,Employés!$A:$B,2,0),""))</f>
        <v/>
      </c>
      <c r="D50" s="93" t="n"/>
      <c r="E50" s="93" t="n">
        <v>25000</v>
      </c>
      <c r="F50" s="93" t="n"/>
      <c r="G50" s="93" t="n"/>
      <c r="H50" s="93" t="n"/>
      <c r="I50" s="105">
        <f>IF($A50="","",SUM(D50:H50))</f>
        <v/>
      </c>
    </row>
    <row r="51" ht="15" customHeight="1" s="71">
      <c r="A51" s="90" t="n">
        <v>46113</v>
      </c>
      <c r="B51" s="91" t="inlineStr">
        <is>
          <t>EE-0005</t>
        </is>
      </c>
      <c r="C51" s="89">
        <f>IF(OR($A51="",$B51=""),"",IFERROR(VLOOKUP($B51,Employés!$A:$B,2,0),""))</f>
        <v/>
      </c>
      <c r="D51" s="93" t="n"/>
      <c r="E51" s="93" t="n">
        <v>25000</v>
      </c>
      <c r="F51" s="93" t="n"/>
      <c r="G51" s="93" t="n"/>
      <c r="H51" s="93" t="n"/>
      <c r="I51" s="105">
        <f>IF($A51="","",SUM(D51:H51))</f>
        <v/>
      </c>
    </row>
    <row r="52" ht="15" customHeight="1" s="71">
      <c r="A52" s="90" t="n">
        <v>46143</v>
      </c>
      <c r="B52" s="91" t="inlineStr">
        <is>
          <t>EE-0005</t>
        </is>
      </c>
      <c r="C52" s="89">
        <f>IF(OR($A52="",$B52=""),"",IFERROR(VLOOKUP($B52,Employés!$A:$B,2,0),""))</f>
        <v/>
      </c>
      <c r="D52" s="93" t="n"/>
      <c r="E52" s="93" t="n">
        <v>25000</v>
      </c>
      <c r="F52" s="93" t="n"/>
      <c r="G52" s="93" t="n"/>
      <c r="H52" s="93" t="n"/>
      <c r="I52" s="105">
        <f>IF($A52="","",SUM(D52:H52))</f>
        <v/>
      </c>
    </row>
    <row r="53" ht="15" customHeight="1" s="71">
      <c r="A53" s="90" t="n">
        <v>46174</v>
      </c>
      <c r="B53" s="91" t="inlineStr">
        <is>
          <t>EE-0005</t>
        </is>
      </c>
      <c r="C53" s="89">
        <f>IF(OR($A53="",$B53=""),"",IFERROR(VLOOKUP($B53,Employés!$A:$B,2,0),""))</f>
        <v/>
      </c>
      <c r="D53" s="93" t="n"/>
      <c r="E53" s="93" t="n">
        <v>25000</v>
      </c>
      <c r="F53" s="93" t="n"/>
      <c r="G53" s="93" t="n"/>
      <c r="H53" s="93" t="n"/>
      <c r="I53" s="105">
        <f>IF($A53="","",SUM(D53:H53))</f>
        <v/>
      </c>
    </row>
    <row r="54" ht="15" customHeight="1" s="71">
      <c r="A54" s="90" t="n">
        <v>45992</v>
      </c>
      <c r="B54" s="91" t="inlineStr">
        <is>
          <t>EE-0002</t>
        </is>
      </c>
      <c r="C54" s="89">
        <f>IF(OR($A54="",$B54=""),"",IFERROR(VLOOKUP($B54,Employés!$A:$B,2,0),""))</f>
        <v/>
      </c>
      <c r="D54" s="93" t="n"/>
      <c r="E54" s="93" t="n">
        <v>100000</v>
      </c>
      <c r="F54" s="93" t="n"/>
      <c r="G54" s="93" t="n"/>
      <c r="H54" s="93" t="n"/>
      <c r="I54" s="105">
        <f>IF($A54="","",SUM(D54:H54))</f>
        <v/>
      </c>
    </row>
    <row r="55" ht="15" customHeight="1" s="71">
      <c r="A55" s="90" t="n">
        <v>46023</v>
      </c>
      <c r="B55" s="91" t="inlineStr">
        <is>
          <t>EE-0002</t>
        </is>
      </c>
      <c r="C55" s="89">
        <f>IF(OR($A55="",$B55=""),"",IFERROR(VLOOKUP($B55,Employés!$A:$B,2,0),""))</f>
        <v/>
      </c>
      <c r="D55" s="93" t="n"/>
      <c r="E55" s="93" t="n">
        <v>100000</v>
      </c>
      <c r="F55" s="93" t="n"/>
      <c r="G55" s="93" t="n"/>
      <c r="H55" s="93" t="n"/>
      <c r="I55" s="105">
        <f>IF($A55="","",SUM(D55:H55))</f>
        <v/>
      </c>
    </row>
    <row r="56" ht="15" customHeight="1" s="71">
      <c r="A56" s="90" t="n">
        <v>46054</v>
      </c>
      <c r="B56" s="91" t="inlineStr">
        <is>
          <t>EE-0002</t>
        </is>
      </c>
      <c r="C56" s="89">
        <f>IF(OR($A56="",$B56=""),"",IFERROR(VLOOKUP($B56,Employés!$A:$B,2,0),""))</f>
        <v/>
      </c>
      <c r="D56" s="93" t="n"/>
      <c r="E56" s="93" t="n">
        <v>100000</v>
      </c>
      <c r="F56" s="93" t="n"/>
      <c r="G56" s="93" t="n"/>
      <c r="H56" s="93" t="n"/>
      <c r="I56" s="105">
        <f>IF($A56="","",SUM(D56:H56))</f>
        <v/>
      </c>
    </row>
    <row r="57" ht="15" customHeight="1" s="71">
      <c r="A57" s="90" t="n">
        <v>46082</v>
      </c>
      <c r="B57" s="91" t="inlineStr">
        <is>
          <t>EE-0002</t>
        </is>
      </c>
      <c r="C57" s="89">
        <f>IF(OR($A57="",$B57=""),"",IFERROR(VLOOKUP($B57,Employés!$A:$B,2,0),""))</f>
        <v/>
      </c>
      <c r="D57" s="93" t="n"/>
      <c r="E57" s="93" t="n">
        <v>100000</v>
      </c>
      <c r="F57" s="93" t="n"/>
      <c r="G57" s="93" t="n"/>
      <c r="H57" s="93" t="n"/>
      <c r="I57" s="105">
        <f>IF($A57="","",SUM(D57:H57))</f>
        <v/>
      </c>
    </row>
    <row r="58" ht="15" customHeight="1" s="71">
      <c r="A58" s="90" t="n">
        <v>46143</v>
      </c>
      <c r="B58" s="91" t="inlineStr">
        <is>
          <t>EE-0002</t>
        </is>
      </c>
      <c r="C58" s="89">
        <f>IF(OR($A58="",$B58=""),"",IFERROR(VLOOKUP($B58,Employés!$A:$B,2,0),""))</f>
        <v/>
      </c>
      <c r="D58" s="93" t="n"/>
      <c r="E58" s="93" t="n">
        <v>100000</v>
      </c>
      <c r="F58" s="93" t="n"/>
      <c r="G58" s="93" t="n"/>
      <c r="H58" s="93" t="n"/>
      <c r="I58" s="105">
        <f>IF($A58="","",SUM(D58:H58))</f>
        <v/>
      </c>
    </row>
    <row r="59" ht="15" customHeight="1" s="71">
      <c r="A59" s="90" t="n">
        <v>46174</v>
      </c>
      <c r="B59" s="91" t="inlineStr">
        <is>
          <t>EE-0002</t>
        </is>
      </c>
      <c r="C59" s="89">
        <f>IF(OR($A59="",$B59=""),"",IFERROR(VLOOKUP($B59,Employés!$A:$B,2,0),""))</f>
        <v/>
      </c>
      <c r="D59" s="93" t="n"/>
      <c r="E59" s="93" t="n">
        <v>100000</v>
      </c>
      <c r="F59" s="93" t="n"/>
      <c r="G59" s="93" t="n"/>
      <c r="H59" s="93" t="n"/>
      <c r="I59" s="105">
        <f>IF($A59="","",SUM(D59:H59))</f>
        <v/>
      </c>
    </row>
    <row r="60" ht="15" customHeight="1" s="71">
      <c r="A60" s="87" t="n"/>
      <c r="B60" s="91" t="n"/>
      <c r="C60" s="89">
        <f>IF(OR($A60="",$B60=""),"",IFERROR(VLOOKUP($B60,Employés!$A:$B,2,0),""))</f>
        <v/>
      </c>
      <c r="D60" s="93" t="n"/>
      <c r="E60" s="93" t="n"/>
      <c r="F60" s="93" t="n"/>
      <c r="G60" s="93" t="n"/>
      <c r="H60" s="93" t="n"/>
      <c r="I60" s="105">
        <f>IF($A60="","",SUM(D60:H60))</f>
        <v/>
      </c>
    </row>
    <row r="61" ht="15" customHeight="1" s="71">
      <c r="A61" s="87" t="n"/>
      <c r="B61" s="91" t="n"/>
      <c r="C61" s="89">
        <f>IF(OR($A61="",$B61=""),"",IFERROR(VLOOKUP($B61,Employés!$A:$B,2,0),""))</f>
        <v/>
      </c>
      <c r="D61" s="93" t="n"/>
      <c r="E61" s="93" t="n"/>
      <c r="F61" s="93" t="n"/>
      <c r="G61" s="93" t="n"/>
      <c r="H61" s="93" t="n"/>
      <c r="I61" s="105">
        <f>IF($A61="","",SUM(D61:H61))</f>
        <v/>
      </c>
    </row>
    <row r="62" ht="15" customHeight="1" s="71">
      <c r="A62" s="87" t="n"/>
      <c r="B62" s="91" t="n"/>
      <c r="C62" s="89">
        <f>IF(OR($A62="",$B62=""),"",IFERROR(VLOOKUP($B62,Employés!$A:$B,2,0),""))</f>
        <v/>
      </c>
      <c r="D62" s="93" t="n"/>
      <c r="E62" s="93" t="n"/>
      <c r="F62" s="93" t="n"/>
      <c r="G62" s="93" t="n"/>
      <c r="H62" s="93" t="n"/>
      <c r="I62" s="105">
        <f>IF($A62="","",SUM(D62:H62))</f>
        <v/>
      </c>
    </row>
    <row r="63" ht="15" customHeight="1" s="71">
      <c r="A63" s="87" t="n"/>
      <c r="B63" s="91" t="n"/>
      <c r="C63" s="89">
        <f>IF(OR($A63="",$B63=""),"",IFERROR(VLOOKUP($B63,Employés!$A:$B,2,0),""))</f>
        <v/>
      </c>
      <c r="D63" s="93" t="n"/>
      <c r="E63" s="93" t="n"/>
      <c r="F63" s="93" t="n"/>
      <c r="G63" s="93" t="n"/>
      <c r="H63" s="93" t="n"/>
      <c r="I63" s="105">
        <f>IF($A63="","",SUM(D63:H63))</f>
        <v/>
      </c>
    </row>
    <row r="64" ht="15" customHeight="1" s="71">
      <c r="A64" s="87" t="n"/>
      <c r="B64" s="91" t="n"/>
      <c r="C64" s="89">
        <f>IF(OR($A64="",$B64=""),"",IFERROR(VLOOKUP($B64,Employés!$A:$B,2,0),""))</f>
        <v/>
      </c>
      <c r="D64" s="93" t="n"/>
      <c r="E64" s="93" t="n"/>
      <c r="F64" s="93" t="n"/>
      <c r="G64" s="93" t="n"/>
      <c r="H64" s="93" t="n"/>
      <c r="I64" s="105">
        <f>IF($A64="","",SUM(D64:H64))</f>
        <v/>
      </c>
    </row>
    <row r="65" ht="15" customHeight="1" s="71">
      <c r="A65" s="87" t="n"/>
      <c r="B65" s="91" t="n"/>
      <c r="C65" s="89">
        <f>IF(OR($A65="",$B65=""),"",IFERROR(VLOOKUP($B65,Employés!$A:$B,2,0),""))</f>
        <v/>
      </c>
      <c r="D65" s="93" t="n"/>
      <c r="E65" s="93" t="n"/>
      <c r="F65" s="93" t="n"/>
      <c r="G65" s="93" t="n"/>
      <c r="H65" s="93" t="n"/>
      <c r="I65" s="105">
        <f>IF($A65="","",SUM(D65:H65))</f>
        <v/>
      </c>
    </row>
    <row r="66" ht="15" customHeight="1" s="71">
      <c r="A66" s="87" t="n"/>
      <c r="B66" s="91" t="n"/>
      <c r="C66" s="89">
        <f>IF(OR($A66="",$B66=""),"",IFERROR(VLOOKUP($B66,Employés!$A:$B,2,0),""))</f>
        <v/>
      </c>
      <c r="D66" s="93" t="n"/>
      <c r="E66" s="93" t="n"/>
      <c r="F66" s="93" t="n"/>
      <c r="G66" s="93" t="n"/>
      <c r="H66" s="93" t="n"/>
      <c r="I66" s="105">
        <f>IF($A66="","",SUM(D66:H66))</f>
        <v/>
      </c>
    </row>
    <row r="67" ht="15" customHeight="1" s="71">
      <c r="A67" s="87" t="n"/>
      <c r="B67" s="91" t="n"/>
      <c r="C67" s="89">
        <f>IF(OR($A67="",$B67=""),"",IFERROR(VLOOKUP($B67,Employés!$A:$B,2,0),""))</f>
        <v/>
      </c>
      <c r="D67" s="93" t="n"/>
      <c r="E67" s="93" t="n"/>
      <c r="F67" s="93" t="n"/>
      <c r="G67" s="93" t="n"/>
      <c r="H67" s="93" t="n"/>
      <c r="I67" s="105">
        <f>IF($A67="","",SUM(D67:H67))</f>
        <v/>
      </c>
    </row>
    <row r="68" ht="15" customHeight="1" s="71">
      <c r="A68" s="87" t="n"/>
      <c r="B68" s="91" t="n"/>
      <c r="C68" s="89">
        <f>IF(OR($A68="",$B68=""),"",IFERROR(VLOOKUP($B68,Employés!$A:$B,2,0),""))</f>
        <v/>
      </c>
      <c r="D68" s="93" t="n"/>
      <c r="E68" s="93" t="n"/>
      <c r="F68" s="93" t="n"/>
      <c r="G68" s="93" t="n"/>
      <c r="H68" s="93" t="n"/>
      <c r="I68" s="105">
        <f>IF($A68="","",SUM(D68:H68))</f>
        <v/>
      </c>
    </row>
    <row r="69" ht="15" customHeight="1" s="71">
      <c r="A69" s="87" t="n"/>
      <c r="B69" s="91" t="n"/>
      <c r="C69" s="89">
        <f>IF(OR($A69="",$B69=""),"",IFERROR(VLOOKUP($B69,Employés!$A:$B,2,0),""))</f>
        <v/>
      </c>
      <c r="D69" s="93" t="n"/>
      <c r="E69" s="93" t="n"/>
      <c r="F69" s="93" t="n"/>
      <c r="G69" s="93" t="n"/>
      <c r="H69" s="93" t="n"/>
      <c r="I69" s="105">
        <f>IF($A69="","",SUM(D69:H69))</f>
        <v/>
      </c>
    </row>
    <row r="70" ht="15" customHeight="1" s="71">
      <c r="A70" s="87" t="n"/>
      <c r="B70" s="91" t="n"/>
      <c r="C70" s="89">
        <f>IF(OR($A70="",$B70=""),"",IFERROR(VLOOKUP($B70,Employés!$A:$B,2,0),""))</f>
        <v/>
      </c>
      <c r="D70" s="93" t="n"/>
      <c r="E70" s="93" t="n"/>
      <c r="F70" s="93" t="n"/>
      <c r="G70" s="93" t="n"/>
      <c r="H70" s="93" t="n"/>
      <c r="I70" s="105">
        <f>IF($A70="","",SUM(D70:H70))</f>
        <v/>
      </c>
    </row>
    <row r="71" ht="15" customHeight="1" s="71">
      <c r="A71" s="87" t="n"/>
      <c r="B71" s="91" t="n"/>
      <c r="C71" s="89">
        <f>IF(OR($A71="",$B71=""),"",IFERROR(VLOOKUP($B71,Employés!$A:$B,2,0),""))</f>
        <v/>
      </c>
      <c r="D71" s="93" t="n"/>
      <c r="E71" s="93" t="n"/>
      <c r="F71" s="93" t="n"/>
      <c r="G71" s="93" t="n"/>
      <c r="H71" s="93" t="n"/>
      <c r="I71" s="105">
        <f>IF($A71="","",SUM(D71:H71))</f>
        <v/>
      </c>
    </row>
    <row r="72" ht="15" customHeight="1" s="71">
      <c r="A72" s="87" t="n"/>
      <c r="B72" s="91" t="n"/>
      <c r="C72" s="89">
        <f>IF(OR($A72="",$B72=""),"",IFERROR(VLOOKUP($B72,Employés!$A:$B,2,0),""))</f>
        <v/>
      </c>
      <c r="D72" s="93" t="n"/>
      <c r="E72" s="93" t="n"/>
      <c r="F72" s="93" t="n"/>
      <c r="G72" s="93" t="n"/>
      <c r="H72" s="93" t="n"/>
      <c r="I72" s="105">
        <f>IF($A72="","",SUM(D72:H72))</f>
        <v/>
      </c>
    </row>
    <row r="73" ht="15" customHeight="1" s="71">
      <c r="A73" s="87" t="n"/>
      <c r="B73" s="91" t="n"/>
      <c r="C73" s="89">
        <f>IF(OR($A73="",$B73=""),"",IFERROR(VLOOKUP($B73,Employés!$A:$B,2,0),""))</f>
        <v/>
      </c>
      <c r="D73" s="93" t="n"/>
      <c r="E73" s="93" t="n"/>
      <c r="F73" s="93" t="n"/>
      <c r="G73" s="93" t="n"/>
      <c r="H73" s="93" t="n"/>
      <c r="I73" s="105">
        <f>IF($A73="","",SUM(D73:H73))</f>
        <v/>
      </c>
    </row>
    <row r="74" ht="15" customHeight="1" s="71">
      <c r="A74" s="87" t="n"/>
      <c r="B74" s="91" t="n"/>
      <c r="C74" s="89">
        <f>IF(OR($A74="",$B74=""),"",IFERROR(VLOOKUP($B74,Employés!$A:$B,2,0),""))</f>
        <v/>
      </c>
      <c r="D74" s="93" t="n"/>
      <c r="E74" s="93" t="n"/>
      <c r="F74" s="93" t="n"/>
      <c r="G74" s="93" t="n"/>
      <c r="H74" s="93" t="n"/>
      <c r="I74" s="105">
        <f>IF($A74="","",SUM(D74:H74))</f>
        <v/>
      </c>
    </row>
    <row r="75" ht="15" customHeight="1" s="71">
      <c r="A75" s="87" t="n"/>
      <c r="B75" s="91" t="n"/>
      <c r="C75" s="89">
        <f>IF(OR($A75="",$B75=""),"",IFERROR(VLOOKUP($B75,Employés!$A:$B,2,0),""))</f>
        <v/>
      </c>
      <c r="D75" s="93" t="n"/>
      <c r="E75" s="93" t="n"/>
      <c r="F75" s="93" t="n"/>
      <c r="G75" s="93" t="n"/>
      <c r="H75" s="93" t="n"/>
      <c r="I75" s="105">
        <f>IF($A75="","",SUM(D75:H75))</f>
        <v/>
      </c>
    </row>
    <row r="76" ht="15" customHeight="1" s="71">
      <c r="A76" s="87" t="n"/>
      <c r="B76" s="91" t="n"/>
      <c r="C76" s="89">
        <f>IF(OR($A76="",$B76=""),"",IFERROR(VLOOKUP($B76,Employés!$A:$B,2,0),""))</f>
        <v/>
      </c>
      <c r="D76" s="93" t="n"/>
      <c r="E76" s="93" t="n"/>
      <c r="F76" s="93" t="n"/>
      <c r="G76" s="93" t="n"/>
      <c r="H76" s="93" t="n"/>
      <c r="I76" s="105">
        <f>IF($A76="","",SUM(D76:H76))</f>
        <v/>
      </c>
    </row>
    <row r="77" ht="15" customHeight="1" s="71">
      <c r="A77" s="87" t="n"/>
      <c r="B77" s="91" t="n"/>
      <c r="C77" s="89">
        <f>IF(OR($A77="",$B77=""),"",IFERROR(VLOOKUP($B77,Employés!$A:$B,2,0),""))</f>
        <v/>
      </c>
      <c r="D77" s="93" t="n"/>
      <c r="E77" s="93" t="n"/>
      <c r="F77" s="93" t="n"/>
      <c r="G77" s="93" t="n"/>
      <c r="H77" s="93" t="n"/>
      <c r="I77" s="105">
        <f>IF($A77="","",SUM(D77:H77))</f>
        <v/>
      </c>
    </row>
    <row r="78" ht="15" customHeight="1" s="71">
      <c r="A78" s="87" t="n"/>
      <c r="B78" s="91" t="n"/>
      <c r="C78" s="89">
        <f>IF(OR($A78="",$B78=""),"",IFERROR(VLOOKUP($B78,Employés!$A:$B,2,0),""))</f>
        <v/>
      </c>
      <c r="D78" s="93" t="n"/>
      <c r="E78" s="93" t="n"/>
      <c r="F78" s="93" t="n"/>
      <c r="G78" s="93" t="n"/>
      <c r="H78" s="93" t="n"/>
      <c r="I78" s="105">
        <f>IF($A78="","",SUM(D78:H78))</f>
        <v/>
      </c>
    </row>
    <row r="79" ht="15" customHeight="1" s="71">
      <c r="A79" s="87" t="n"/>
      <c r="B79" s="91" t="n"/>
      <c r="C79" s="89">
        <f>IF(OR($A79="",$B79=""),"",IFERROR(VLOOKUP($B79,Employés!$A:$B,2,0),""))</f>
        <v/>
      </c>
      <c r="D79" s="93" t="n"/>
      <c r="E79" s="93" t="n"/>
      <c r="F79" s="93" t="n"/>
      <c r="G79" s="93" t="n"/>
      <c r="H79" s="93" t="n"/>
      <c r="I79" s="105">
        <f>IF($A79="","",SUM(D79:H79))</f>
        <v/>
      </c>
    </row>
    <row r="80" ht="15" customHeight="1" s="71">
      <c r="A80" s="87" t="n"/>
      <c r="B80" s="91" t="n"/>
      <c r="C80" s="89">
        <f>IF(OR($A80="",$B80=""),"",IFERROR(VLOOKUP($B80,Employés!$A:$B,2,0),""))</f>
        <v/>
      </c>
      <c r="D80" s="93" t="n"/>
      <c r="E80" s="93" t="n"/>
      <c r="F80" s="93" t="n"/>
      <c r="G80" s="93" t="n"/>
      <c r="H80" s="93" t="n"/>
      <c r="I80" s="105">
        <f>IF($A80="","",SUM(D80:H80))</f>
        <v/>
      </c>
    </row>
    <row r="81" ht="15" customHeight="1" s="71">
      <c r="A81" s="87" t="n"/>
      <c r="B81" s="91" t="n"/>
      <c r="C81" s="89">
        <f>IF(OR($A81="",$B81=""),"",IFERROR(VLOOKUP($B81,Employés!$A:$B,2,0),""))</f>
        <v/>
      </c>
      <c r="D81" s="93" t="n"/>
      <c r="E81" s="93" t="n"/>
      <c r="F81" s="93" t="n"/>
      <c r="G81" s="93" t="n"/>
      <c r="H81" s="93" t="n"/>
      <c r="I81" s="105">
        <f>IF($A81="","",SUM(D81:H81))</f>
        <v/>
      </c>
    </row>
    <row r="82" ht="15" customHeight="1" s="71">
      <c r="A82" s="87" t="n"/>
      <c r="B82" s="91" t="n"/>
      <c r="C82" s="89">
        <f>IF(OR($A82="",$B82=""),"",IFERROR(VLOOKUP($B82,Employés!$A:$B,2,0),""))</f>
        <v/>
      </c>
      <c r="D82" s="93" t="n"/>
      <c r="E82" s="93" t="n"/>
      <c r="F82" s="93" t="n"/>
      <c r="G82" s="93" t="n"/>
      <c r="H82" s="93" t="n"/>
      <c r="I82" s="105">
        <f>IF($A82="","",SUM(D82:H82))</f>
        <v/>
      </c>
    </row>
    <row r="83" ht="15" customHeight="1" s="71">
      <c r="A83" s="87" t="n"/>
      <c r="B83" s="91" t="n"/>
      <c r="C83" s="89">
        <f>IF(OR($A83="",$B83=""),"",IFERROR(VLOOKUP($B83,Employés!$A:$B,2,0),""))</f>
        <v/>
      </c>
      <c r="D83" s="93" t="n"/>
      <c r="E83" s="93" t="n"/>
      <c r="F83" s="93" t="n"/>
      <c r="G83" s="93" t="n"/>
      <c r="H83" s="93" t="n"/>
      <c r="I83" s="105">
        <f>IF($A83="","",SUM(D83:H83))</f>
        <v/>
      </c>
    </row>
    <row r="84" ht="15" customHeight="1" s="71">
      <c r="A84" s="87" t="n"/>
      <c r="B84" s="91" t="n"/>
      <c r="C84" s="89">
        <f>IF(OR($A84="",$B84=""),"",IFERROR(VLOOKUP($B84,Employés!$A:$B,2,0),""))</f>
        <v/>
      </c>
      <c r="D84" s="93" t="n"/>
      <c r="E84" s="93" t="n"/>
      <c r="F84" s="93" t="n"/>
      <c r="G84" s="93" t="n"/>
      <c r="H84" s="93" t="n"/>
      <c r="I84" s="105">
        <f>IF($A84="","",SUM(D84:H84))</f>
        <v/>
      </c>
    </row>
    <row r="85" ht="15" customHeight="1" s="71">
      <c r="A85" s="87" t="n"/>
      <c r="B85" s="91" t="n"/>
      <c r="C85" s="89">
        <f>IF(OR($A85="",$B85=""),"",IFERROR(VLOOKUP($B85,Employés!$A:$B,2,0),""))</f>
        <v/>
      </c>
      <c r="D85" s="93" t="n"/>
      <c r="E85" s="93" t="n"/>
      <c r="F85" s="93" t="n"/>
      <c r="G85" s="93" t="n"/>
      <c r="H85" s="93" t="n"/>
      <c r="I85" s="105">
        <f>IF($A85="","",SUM(D85:H85))</f>
        <v/>
      </c>
    </row>
    <row r="86" ht="15" customHeight="1" s="71">
      <c r="A86" s="87" t="n"/>
      <c r="B86" s="91" t="n"/>
      <c r="C86" s="89">
        <f>IF(OR($A86="",$B86=""),"",IFERROR(VLOOKUP($B86,Employés!$A:$B,2,0),""))</f>
        <v/>
      </c>
      <c r="D86" s="93" t="n"/>
      <c r="E86" s="93" t="n"/>
      <c r="F86" s="93" t="n"/>
      <c r="G86" s="93" t="n"/>
      <c r="H86" s="93" t="n"/>
      <c r="I86" s="105">
        <f>IF($A86="","",SUM(D86:H86))</f>
        <v/>
      </c>
    </row>
    <row r="87" ht="15" customHeight="1" s="71">
      <c r="A87" s="87" t="n"/>
      <c r="B87" s="91" t="n"/>
      <c r="C87" s="89">
        <f>IF(OR($A87="",$B87=""),"",IFERROR(VLOOKUP($B87,Employés!$A:$B,2,0),""))</f>
        <v/>
      </c>
      <c r="D87" s="93" t="n"/>
      <c r="E87" s="93" t="n"/>
      <c r="F87" s="93" t="n"/>
      <c r="G87" s="93" t="n"/>
      <c r="H87" s="93" t="n"/>
      <c r="I87" s="105">
        <f>IF($A87="","",SUM(D87:H87))</f>
        <v/>
      </c>
    </row>
    <row r="88" ht="15" customHeight="1" s="71">
      <c r="A88" s="87" t="n"/>
      <c r="B88" s="91" t="n"/>
      <c r="C88" s="89">
        <f>IF(OR($A88="",$B88=""),"",IFERROR(VLOOKUP($B88,Employés!$A:$B,2,0),""))</f>
        <v/>
      </c>
      <c r="D88" s="93" t="n"/>
      <c r="E88" s="93" t="n"/>
      <c r="F88" s="93" t="n"/>
      <c r="G88" s="93" t="n"/>
      <c r="H88" s="93" t="n"/>
      <c r="I88" s="105">
        <f>IF($A88="","",SUM(D88:H88))</f>
        <v/>
      </c>
    </row>
    <row r="89" ht="15" customHeight="1" s="71">
      <c r="A89" s="87" t="n"/>
      <c r="B89" s="91" t="n"/>
      <c r="C89" s="89">
        <f>IF(OR($A89="",$B89=""),"",IFERROR(VLOOKUP($B89,Employés!$A:$B,2,0),""))</f>
        <v/>
      </c>
      <c r="D89" s="93" t="n"/>
      <c r="E89" s="93" t="n"/>
      <c r="F89" s="93" t="n"/>
      <c r="G89" s="93" t="n"/>
      <c r="H89" s="93" t="n"/>
      <c r="I89" s="105">
        <f>IF($A89="","",SUM(D89:H89))</f>
        <v/>
      </c>
    </row>
    <row r="90" ht="15" customHeight="1" s="71">
      <c r="A90" s="87" t="n"/>
      <c r="B90" s="91" t="n"/>
      <c r="C90" s="89">
        <f>IF(OR($A90="",$B90=""),"",IFERROR(VLOOKUP($B90,Employés!$A:$B,2,0),""))</f>
        <v/>
      </c>
      <c r="D90" s="93" t="n"/>
      <c r="E90" s="93" t="n"/>
      <c r="F90" s="93" t="n"/>
      <c r="G90" s="93" t="n"/>
      <c r="H90" s="93" t="n"/>
      <c r="I90" s="105">
        <f>IF($A90="","",SUM(D90:H90))</f>
        <v/>
      </c>
    </row>
    <row r="91" ht="15" customHeight="1" s="71">
      <c r="A91" s="87" t="n"/>
      <c r="B91" s="91" t="n"/>
      <c r="C91" s="89">
        <f>IF(OR($A91="",$B91=""),"",IFERROR(VLOOKUP($B91,Employés!$A:$B,2,0),""))</f>
        <v/>
      </c>
      <c r="D91" s="93" t="n"/>
      <c r="E91" s="93" t="n"/>
      <c r="F91" s="93" t="n"/>
      <c r="G91" s="93" t="n"/>
      <c r="H91" s="93" t="n"/>
      <c r="I91" s="105">
        <f>IF($A91="","",SUM(D91:H91))</f>
        <v/>
      </c>
    </row>
    <row r="92" ht="15" customHeight="1" s="71">
      <c r="A92" s="87" t="n"/>
      <c r="B92" s="91" t="n"/>
      <c r="C92" s="89">
        <f>IF(OR($A92="",$B92=""),"",IFERROR(VLOOKUP($B92,Employés!$A:$B,2,0),""))</f>
        <v/>
      </c>
      <c r="D92" s="93" t="n"/>
      <c r="E92" s="93" t="n"/>
      <c r="F92" s="93" t="n"/>
      <c r="G92" s="93" t="n"/>
      <c r="H92" s="93" t="n"/>
      <c r="I92" s="105">
        <f>IF($A92="","",SUM(D92:H92))</f>
        <v/>
      </c>
    </row>
    <row r="93" ht="15" customHeight="1" s="71">
      <c r="A93" s="87" t="n"/>
      <c r="B93" s="91" t="n"/>
      <c r="C93" s="89">
        <f>IF(OR($A93="",$B93=""),"",IFERROR(VLOOKUP($B93,Employés!$A:$B,2,0),""))</f>
        <v/>
      </c>
      <c r="D93" s="93" t="n"/>
      <c r="E93" s="93" t="n"/>
      <c r="F93" s="93" t="n"/>
      <c r="G93" s="93" t="n"/>
      <c r="H93" s="93" t="n"/>
      <c r="I93" s="105">
        <f>IF($A93="","",SUM(D93:H93))</f>
        <v/>
      </c>
    </row>
    <row r="94" ht="15" customHeight="1" s="71">
      <c r="A94" s="87" t="n"/>
      <c r="B94" s="91" t="n"/>
      <c r="C94" s="89">
        <f>IF(OR($A94="",$B94=""),"",IFERROR(VLOOKUP($B94,Employés!$A:$B,2,0),""))</f>
        <v/>
      </c>
      <c r="D94" s="93" t="n"/>
      <c r="E94" s="93" t="n"/>
      <c r="F94" s="93" t="n"/>
      <c r="G94" s="93" t="n"/>
      <c r="H94" s="93" t="n"/>
      <c r="I94" s="105">
        <f>IF($A94="","",SUM(D94:H94))</f>
        <v/>
      </c>
    </row>
    <row r="95" ht="15" customHeight="1" s="71">
      <c r="A95" s="87" t="n"/>
      <c r="B95" s="91" t="n"/>
      <c r="C95" s="89">
        <f>IF(OR($A95="",$B95=""),"",IFERROR(VLOOKUP($B95,Employés!$A:$B,2,0),""))</f>
        <v/>
      </c>
      <c r="D95" s="93" t="n"/>
      <c r="E95" s="93" t="n"/>
      <c r="F95" s="93" t="n"/>
      <c r="G95" s="93" t="n"/>
      <c r="H95" s="93" t="n"/>
      <c r="I95" s="105">
        <f>IF($A95="","",SUM(D95:H95))</f>
        <v/>
      </c>
    </row>
    <row r="96" ht="15" customHeight="1" s="71">
      <c r="A96" s="87" t="n"/>
      <c r="B96" s="91" t="n"/>
      <c r="C96" s="89">
        <f>IF(OR($A96="",$B96=""),"",IFERROR(VLOOKUP($B96,Employés!$A:$B,2,0),""))</f>
        <v/>
      </c>
      <c r="D96" s="93" t="n"/>
      <c r="E96" s="93" t="n"/>
      <c r="F96" s="93" t="n"/>
      <c r="G96" s="93" t="n"/>
      <c r="H96" s="93" t="n"/>
      <c r="I96" s="105">
        <f>IF($A96="","",SUM(D96:H96))</f>
        <v/>
      </c>
    </row>
    <row r="97" ht="15" customHeight="1" s="71">
      <c r="A97" s="87" t="n"/>
      <c r="B97" s="91" t="n"/>
      <c r="C97" s="89">
        <f>IF(OR($A97="",$B97=""),"",IFERROR(VLOOKUP($B97,Employés!$A:$B,2,0),""))</f>
        <v/>
      </c>
      <c r="D97" s="93" t="n"/>
      <c r="E97" s="93" t="n"/>
      <c r="F97" s="93" t="n"/>
      <c r="G97" s="93" t="n"/>
      <c r="H97" s="93" t="n"/>
      <c r="I97" s="105">
        <f>IF($A97="","",SUM(D97:H97))</f>
        <v/>
      </c>
    </row>
    <row r="98" ht="15" customHeight="1" s="71">
      <c r="A98" s="87" t="n"/>
      <c r="B98" s="91" t="n"/>
      <c r="C98" s="89">
        <f>IF(OR($A98="",$B98=""),"",IFERROR(VLOOKUP($B98,Employés!$A:$B,2,0),""))</f>
        <v/>
      </c>
      <c r="D98" s="93" t="n"/>
      <c r="E98" s="93" t="n"/>
      <c r="F98" s="93" t="n"/>
      <c r="G98" s="93" t="n"/>
      <c r="H98" s="93" t="n"/>
      <c r="I98" s="105">
        <f>IF($A98="","",SUM(D98:H98))</f>
        <v/>
      </c>
    </row>
    <row r="99" ht="15" customHeight="1" s="71">
      <c r="A99" s="87" t="n"/>
      <c r="B99" s="91" t="n"/>
      <c r="C99" s="89">
        <f>IF(OR($A99="",$B99=""),"",IFERROR(VLOOKUP($B99,Employés!$A:$B,2,0),""))</f>
        <v/>
      </c>
      <c r="D99" s="93" t="n"/>
      <c r="E99" s="93" t="n"/>
      <c r="F99" s="93" t="n"/>
      <c r="G99" s="93" t="n"/>
      <c r="H99" s="93" t="n"/>
      <c r="I99" s="105">
        <f>IF($A99="","",SUM(D99:H99))</f>
        <v/>
      </c>
    </row>
    <row r="100" ht="15" customHeight="1" s="71">
      <c r="A100" s="87" t="n"/>
      <c r="B100" s="91" t="n"/>
      <c r="C100" s="89">
        <f>IF(OR($A100="",$B100=""),"",IFERROR(VLOOKUP($B100,Employés!$A:$B,2,0),""))</f>
        <v/>
      </c>
      <c r="D100" s="93" t="n"/>
      <c r="E100" s="93" t="n"/>
      <c r="F100" s="93" t="n"/>
      <c r="G100" s="93" t="n"/>
      <c r="H100" s="93" t="n"/>
      <c r="I100" s="105">
        <f>IF($A100="","",SUM(D100:H100))</f>
        <v/>
      </c>
    </row>
    <row r="101" ht="15" customHeight="1" s="71">
      <c r="A101" s="87" t="n"/>
      <c r="B101" s="91" t="n"/>
      <c r="C101" s="89">
        <f>IF(OR($A101="",$B101=""),"",IFERROR(VLOOKUP($B101,Employés!$A:$B,2,0),""))</f>
        <v/>
      </c>
      <c r="D101" s="93" t="n"/>
      <c r="E101" s="93" t="n"/>
      <c r="F101" s="93" t="n"/>
      <c r="G101" s="93" t="n"/>
      <c r="H101" s="93" t="n"/>
      <c r="I101" s="105">
        <f>IF($A101="","",SUM(D101:H101))</f>
        <v/>
      </c>
    </row>
    <row r="102" ht="15" customHeight="1" s="71">
      <c r="A102" s="87" t="n"/>
      <c r="B102" s="91" t="n"/>
      <c r="C102" s="89">
        <f>IF(OR($A102="",$B102=""),"",IFERROR(VLOOKUP($B102,Employés!$A:$B,2,0),""))</f>
        <v/>
      </c>
      <c r="D102" s="93" t="n"/>
      <c r="E102" s="93" t="n"/>
      <c r="F102" s="93" t="n"/>
      <c r="G102" s="93" t="n"/>
      <c r="H102" s="93" t="n"/>
      <c r="I102" s="105">
        <f>IF($A102="","",SUM(D102:H102))</f>
        <v/>
      </c>
    </row>
    <row r="103" ht="15" customHeight="1" s="71">
      <c r="A103" s="87" t="n"/>
      <c r="B103" s="91" t="n"/>
      <c r="C103" s="89">
        <f>IF(OR($A103="",$B103=""),"",IFERROR(VLOOKUP($B103,Employés!$A:$B,2,0),""))</f>
        <v/>
      </c>
      <c r="D103" s="93" t="n"/>
      <c r="E103" s="93" t="n"/>
      <c r="F103" s="93" t="n"/>
      <c r="G103" s="93" t="n"/>
      <c r="H103" s="93" t="n"/>
      <c r="I103" s="105">
        <f>IF($A103="","",SUM(D103:H103))</f>
        <v/>
      </c>
    </row>
    <row r="104" ht="15" customHeight="1" s="71">
      <c r="A104" s="87" t="n"/>
      <c r="B104" s="91" t="n"/>
      <c r="C104" s="89">
        <f>IF(OR($A104="",$B104=""),"",IFERROR(VLOOKUP($B104,Employés!$A:$B,2,0),""))</f>
        <v/>
      </c>
      <c r="D104" s="93" t="n"/>
      <c r="E104" s="93" t="n"/>
      <c r="F104" s="93" t="n"/>
      <c r="G104" s="93" t="n"/>
      <c r="H104" s="93" t="n"/>
      <c r="I104" s="105">
        <f>IF($A104="","",SUM(D104:H104))</f>
        <v/>
      </c>
    </row>
    <row r="105" ht="15" customHeight="1" s="71">
      <c r="A105" s="87" t="n"/>
      <c r="B105" s="91" t="n"/>
      <c r="C105" s="89">
        <f>IF(OR($A105="",$B105=""),"",IFERROR(VLOOKUP($B105,Employés!$A:$B,2,0),""))</f>
        <v/>
      </c>
      <c r="D105" s="93" t="n"/>
      <c r="E105" s="93" t="n"/>
      <c r="F105" s="93" t="n"/>
      <c r="G105" s="93" t="n"/>
      <c r="H105" s="93" t="n"/>
      <c r="I105" s="105">
        <f>IF($A105="","",SUM(D105:H105))</f>
        <v/>
      </c>
    </row>
    <row r="106" ht="15" customHeight="1" s="71">
      <c r="A106" s="87" t="n"/>
      <c r="B106" s="91" t="n"/>
      <c r="C106" s="89">
        <f>IF(OR($A106="",$B106=""),"",IFERROR(VLOOKUP($B106,Employés!$A:$B,2,0),""))</f>
        <v/>
      </c>
      <c r="D106" s="93" t="n"/>
      <c r="E106" s="93" t="n"/>
      <c r="F106" s="93" t="n"/>
      <c r="G106" s="93" t="n"/>
      <c r="H106" s="93" t="n"/>
      <c r="I106" s="105">
        <f>IF($A106="","",SUM(D106:H106))</f>
        <v/>
      </c>
    </row>
    <row r="107" ht="15" customHeight="1" s="71">
      <c r="A107" s="87" t="n"/>
      <c r="B107" s="91" t="n"/>
      <c r="C107" s="89">
        <f>IF(OR($A107="",$B107=""),"",IFERROR(VLOOKUP($B107,Employés!$A:$B,2,0),""))</f>
        <v/>
      </c>
      <c r="D107" s="93" t="n"/>
      <c r="E107" s="93" t="n"/>
      <c r="F107" s="93" t="n"/>
      <c r="G107" s="93" t="n"/>
      <c r="H107" s="93" t="n"/>
      <c r="I107" s="105">
        <f>IF($A107="","",SUM(D107:H107))</f>
        <v/>
      </c>
    </row>
    <row r="108" ht="15" customHeight="1" s="71">
      <c r="A108" s="87" t="n"/>
      <c r="B108" s="91" t="n"/>
      <c r="C108" s="89">
        <f>IF(OR($A108="",$B108=""),"",IFERROR(VLOOKUP($B108,Employés!$A:$B,2,0),""))</f>
        <v/>
      </c>
      <c r="D108" s="93" t="n"/>
      <c r="E108" s="93" t="n"/>
      <c r="F108" s="93" t="n"/>
      <c r="G108" s="93" t="n"/>
      <c r="H108" s="93" t="n"/>
      <c r="I108" s="105">
        <f>IF($A108="","",SUM(D108:H108))</f>
        <v/>
      </c>
    </row>
    <row r="109" ht="15" customHeight="1" s="71">
      <c r="A109" s="87" t="n"/>
      <c r="B109" s="91" t="n"/>
      <c r="C109" s="89">
        <f>IF(OR($A109="",$B109=""),"",IFERROR(VLOOKUP($B109,Employés!$A:$B,2,0),""))</f>
        <v/>
      </c>
      <c r="D109" s="93" t="n"/>
      <c r="E109" s="93" t="n"/>
      <c r="F109" s="93" t="n"/>
      <c r="G109" s="93" t="n"/>
      <c r="H109" s="93" t="n"/>
      <c r="I109" s="105">
        <f>IF($A109="","",SUM(D109:H109))</f>
        <v/>
      </c>
    </row>
    <row r="110" ht="15" customHeight="1" s="71">
      <c r="A110" s="87" t="n"/>
      <c r="B110" s="91" t="n"/>
      <c r="C110" s="89">
        <f>IF(OR($A110="",$B110=""),"",IFERROR(VLOOKUP($B110,Employés!$A:$B,2,0),""))</f>
        <v/>
      </c>
      <c r="D110" s="93" t="n"/>
      <c r="E110" s="93" t="n"/>
      <c r="F110" s="93" t="n"/>
      <c r="G110" s="93" t="n"/>
      <c r="H110" s="93" t="n"/>
      <c r="I110" s="105">
        <f>IF($A110="","",SUM(D110:H110))</f>
        <v/>
      </c>
    </row>
    <row r="111" ht="15" customHeight="1" s="71">
      <c r="A111" s="87" t="n"/>
      <c r="B111" s="91" t="n"/>
      <c r="C111" s="89">
        <f>IF(OR($A111="",$B111=""),"",IFERROR(VLOOKUP($B111,Employés!$A:$B,2,0),""))</f>
        <v/>
      </c>
      <c r="D111" s="93" t="n"/>
      <c r="E111" s="93" t="n"/>
      <c r="F111" s="93" t="n"/>
      <c r="G111" s="93" t="n"/>
      <c r="H111" s="93" t="n"/>
      <c r="I111" s="105">
        <f>IF($A111="","",SUM(D111:H111))</f>
        <v/>
      </c>
    </row>
    <row r="112" ht="15" customHeight="1" s="71">
      <c r="A112" s="87" t="n"/>
      <c r="B112" s="91" t="n"/>
      <c r="C112" s="89">
        <f>IF(OR($A112="",$B112=""),"",IFERROR(VLOOKUP($B112,Employés!$A:$B,2,0),""))</f>
        <v/>
      </c>
      <c r="D112" s="93" t="n"/>
      <c r="E112" s="93" t="n"/>
      <c r="F112" s="93" t="n"/>
      <c r="G112" s="93" t="n"/>
      <c r="H112" s="93" t="n"/>
      <c r="I112" s="105">
        <f>IF($A112="","",SUM(D112:H112))</f>
        <v/>
      </c>
    </row>
    <row r="113" ht="15" customHeight="1" s="71">
      <c r="A113" s="87" t="n"/>
      <c r="B113" s="91" t="n"/>
      <c r="C113" s="89">
        <f>IF(OR($A113="",$B113=""),"",IFERROR(VLOOKUP($B113,Employés!$A:$B,2,0),""))</f>
        <v/>
      </c>
      <c r="D113" s="93" t="n"/>
      <c r="E113" s="93" t="n"/>
      <c r="F113" s="93" t="n"/>
      <c r="G113" s="93" t="n"/>
      <c r="H113" s="93" t="n"/>
      <c r="I113" s="105">
        <f>IF($A113="","",SUM(D113:H113))</f>
        <v/>
      </c>
    </row>
    <row r="114" ht="15" customHeight="1" s="71">
      <c r="A114" s="87" t="n"/>
      <c r="B114" s="91" t="n"/>
      <c r="C114" s="89">
        <f>IF(OR($A114="",$B114=""),"",IFERROR(VLOOKUP($B114,Employés!$A:$B,2,0),""))</f>
        <v/>
      </c>
      <c r="D114" s="93" t="n"/>
      <c r="E114" s="93" t="n"/>
      <c r="F114" s="93" t="n"/>
      <c r="G114" s="93" t="n"/>
      <c r="H114" s="93" t="n"/>
      <c r="I114" s="105">
        <f>IF($A114="","",SUM(D114:H114))</f>
        <v/>
      </c>
    </row>
    <row r="115" ht="15" customHeight="1" s="71">
      <c r="A115" s="87" t="n"/>
      <c r="B115" s="91" t="n"/>
      <c r="C115" s="89">
        <f>IF(OR($A115="",$B115=""),"",IFERROR(VLOOKUP($B115,Employés!$A:$B,2,0),""))</f>
        <v/>
      </c>
      <c r="D115" s="93" t="n"/>
      <c r="E115" s="93" t="n"/>
      <c r="F115" s="93" t="n"/>
      <c r="G115" s="93" t="n"/>
      <c r="H115" s="93" t="n"/>
      <c r="I115" s="105">
        <f>IF($A115="","",SUM(D115:H115))</f>
        <v/>
      </c>
    </row>
    <row r="116" ht="15" customHeight="1" s="71">
      <c r="A116" s="87" t="n"/>
      <c r="B116" s="91" t="n"/>
      <c r="C116" s="89">
        <f>IF(OR($A116="",$B116=""),"",IFERROR(VLOOKUP($B116,Employés!$A:$B,2,0),""))</f>
        <v/>
      </c>
      <c r="D116" s="93" t="n"/>
      <c r="E116" s="93" t="n"/>
      <c r="F116" s="93" t="n"/>
      <c r="G116" s="93" t="n"/>
      <c r="H116" s="93" t="n"/>
      <c r="I116" s="105">
        <f>IF($A116="","",SUM(D116:H116))</f>
        <v/>
      </c>
    </row>
    <row r="117" ht="15" customHeight="1" s="71">
      <c r="A117" s="87" t="n"/>
      <c r="B117" s="91" t="n"/>
      <c r="C117" s="89">
        <f>IF(OR($A117="",$B117=""),"",IFERROR(VLOOKUP($B117,Employés!$A:$B,2,0),""))</f>
        <v/>
      </c>
      <c r="D117" s="93" t="n"/>
      <c r="E117" s="93" t="n"/>
      <c r="F117" s="93" t="n"/>
      <c r="G117" s="93" t="n"/>
      <c r="H117" s="93" t="n"/>
      <c r="I117" s="105">
        <f>IF($A117="","",SUM(D117:H117))</f>
        <v/>
      </c>
    </row>
    <row r="118" ht="15" customHeight="1" s="71">
      <c r="A118" s="87" t="n"/>
      <c r="B118" s="91" t="n"/>
      <c r="C118" s="89">
        <f>IF(OR($A118="",$B118=""),"",IFERROR(VLOOKUP($B118,Employés!$A:$B,2,0),""))</f>
        <v/>
      </c>
      <c r="D118" s="93" t="n"/>
      <c r="E118" s="93" t="n"/>
      <c r="F118" s="93" t="n"/>
      <c r="G118" s="93" t="n"/>
      <c r="H118" s="93" t="n"/>
      <c r="I118" s="105">
        <f>IF($A118="","",SUM(D118:H118))</f>
        <v/>
      </c>
    </row>
    <row r="119" ht="15" customHeight="1" s="71">
      <c r="A119" s="87" t="n"/>
      <c r="B119" s="91" t="n"/>
      <c r="C119" s="89">
        <f>IF(OR($A119="",$B119=""),"",IFERROR(VLOOKUP($B119,Employés!$A:$B,2,0),""))</f>
        <v/>
      </c>
      <c r="D119" s="93" t="n"/>
      <c r="E119" s="93" t="n"/>
      <c r="F119" s="93" t="n"/>
      <c r="G119" s="93" t="n"/>
      <c r="H119" s="93" t="n"/>
      <c r="I119" s="105">
        <f>IF($A119="","",SUM(D119:H119))</f>
        <v/>
      </c>
    </row>
    <row r="120" ht="15" customHeight="1" s="71">
      <c r="A120" s="87" t="n"/>
      <c r="B120" s="91" t="n"/>
      <c r="C120" s="89">
        <f>IF(OR($A120="",$B120=""),"",IFERROR(VLOOKUP($B120,Employés!$A:$B,2,0),""))</f>
        <v/>
      </c>
      <c r="D120" s="93" t="n"/>
      <c r="E120" s="93" t="n"/>
      <c r="F120" s="93" t="n"/>
      <c r="G120" s="93" t="n"/>
      <c r="H120" s="93" t="n"/>
      <c r="I120" s="105">
        <f>IF($A120="","",SUM(D120:H120))</f>
        <v/>
      </c>
    </row>
    <row r="121" ht="15" customHeight="1" s="71">
      <c r="A121" s="87" t="n"/>
      <c r="B121" s="91" t="n"/>
      <c r="C121" s="89">
        <f>IF(OR($A121="",$B121=""),"",IFERROR(VLOOKUP($B121,Employés!$A:$B,2,0),""))</f>
        <v/>
      </c>
      <c r="D121" s="93" t="n"/>
      <c r="E121" s="93" t="n"/>
      <c r="F121" s="93" t="n"/>
      <c r="G121" s="93" t="n"/>
      <c r="H121" s="93" t="n"/>
      <c r="I121" s="105">
        <f>IF($A121="","",SUM(D121:H121))</f>
        <v/>
      </c>
    </row>
    <row r="122" ht="15" customHeight="1" s="71">
      <c r="A122" s="87" t="n"/>
      <c r="B122" s="91" t="n"/>
      <c r="C122" s="89">
        <f>IF(OR($A122="",$B122=""),"",IFERROR(VLOOKUP($B122,Employés!$A:$B,2,0),""))</f>
        <v/>
      </c>
      <c r="D122" s="93" t="n"/>
      <c r="E122" s="93" t="n"/>
      <c r="F122" s="93" t="n"/>
      <c r="G122" s="93" t="n"/>
      <c r="H122" s="93" t="n"/>
      <c r="I122" s="105">
        <f>IF($A122="","",SUM(D122:H122))</f>
        <v/>
      </c>
    </row>
    <row r="123" ht="15" customHeight="1" s="71">
      <c r="A123" s="87" t="n"/>
      <c r="B123" s="91" t="n"/>
      <c r="C123" s="89">
        <f>IF(OR($A123="",$B123=""),"",IFERROR(VLOOKUP($B123,Employés!$A:$B,2,0),""))</f>
        <v/>
      </c>
      <c r="D123" s="93" t="n"/>
      <c r="E123" s="93" t="n"/>
      <c r="F123" s="93" t="n"/>
      <c r="G123" s="93" t="n"/>
      <c r="H123" s="93" t="n"/>
      <c r="I123" s="105">
        <f>IF($A123="","",SUM(D123:H123))</f>
        <v/>
      </c>
    </row>
    <row r="124" ht="15" customHeight="1" s="71">
      <c r="A124" s="87" t="n"/>
      <c r="B124" s="91" t="n"/>
      <c r="C124" s="89">
        <f>IF(OR($A124="",$B124=""),"",IFERROR(VLOOKUP($B124,Employés!$A:$B,2,0),""))</f>
        <v/>
      </c>
      <c r="D124" s="93" t="n"/>
      <c r="E124" s="93" t="n"/>
      <c r="F124" s="93" t="n"/>
      <c r="G124" s="93" t="n"/>
      <c r="H124" s="93" t="n"/>
      <c r="I124" s="105">
        <f>IF($A124="","",SUM(D124:H124))</f>
        <v/>
      </c>
    </row>
    <row r="125" ht="15" customHeight="1" s="71">
      <c r="A125" s="87" t="n"/>
      <c r="B125" s="91" t="n"/>
      <c r="C125" s="89">
        <f>IF(OR($A125="",$B125=""),"",IFERROR(VLOOKUP($B125,Employés!$A:$B,2,0),""))</f>
        <v/>
      </c>
      <c r="D125" s="93" t="n"/>
      <c r="E125" s="93" t="n"/>
      <c r="F125" s="93" t="n"/>
      <c r="G125" s="93" t="n"/>
      <c r="H125" s="93" t="n"/>
      <c r="I125" s="105">
        <f>IF($A125="","",SUM(D125:H125))</f>
        <v/>
      </c>
    </row>
    <row r="126" ht="15" customHeight="1" s="71">
      <c r="A126" s="87" t="n"/>
      <c r="B126" s="91" t="n"/>
      <c r="C126" s="89">
        <f>IF(OR($A126="",$B126=""),"",IFERROR(VLOOKUP($B126,Employés!$A:$B,2,0),""))</f>
        <v/>
      </c>
      <c r="D126" s="93" t="n"/>
      <c r="E126" s="93" t="n"/>
      <c r="F126" s="93" t="n"/>
      <c r="G126" s="93" t="n"/>
      <c r="H126" s="93" t="n"/>
      <c r="I126" s="105">
        <f>IF($A126="","",SUM(D126:H126))</f>
        <v/>
      </c>
    </row>
    <row r="127" ht="15" customHeight="1" s="71">
      <c r="A127" s="87" t="n"/>
      <c r="B127" s="91" t="n"/>
      <c r="C127" s="89">
        <f>IF(OR($A127="",$B127=""),"",IFERROR(VLOOKUP($B127,Employés!$A:$B,2,0),""))</f>
        <v/>
      </c>
      <c r="D127" s="93" t="n"/>
      <c r="E127" s="93" t="n"/>
      <c r="F127" s="93" t="n"/>
      <c r="G127" s="93" t="n"/>
      <c r="H127" s="93" t="n"/>
      <c r="I127" s="105">
        <f>IF($A127="","",SUM(D127:H127))</f>
        <v/>
      </c>
    </row>
    <row r="128" ht="15" customHeight="1" s="71">
      <c r="A128" s="87" t="n"/>
      <c r="B128" s="91" t="n"/>
      <c r="C128" s="89">
        <f>IF(OR($A128="",$B128=""),"",IFERROR(VLOOKUP($B128,Employés!$A:$B,2,0),""))</f>
        <v/>
      </c>
      <c r="D128" s="93" t="n"/>
      <c r="E128" s="93" t="n"/>
      <c r="F128" s="93" t="n"/>
      <c r="G128" s="93" t="n"/>
      <c r="H128" s="93" t="n"/>
      <c r="I128" s="105">
        <f>IF($A128="","",SUM(D128:H128))</f>
        <v/>
      </c>
    </row>
    <row r="129" ht="15" customHeight="1" s="71">
      <c r="A129" s="87" t="n"/>
      <c r="B129" s="91" t="n"/>
      <c r="C129" s="89">
        <f>IF(OR($A129="",$B129=""),"",IFERROR(VLOOKUP($B129,Employés!$A:$B,2,0),""))</f>
        <v/>
      </c>
      <c r="D129" s="93" t="n"/>
      <c r="E129" s="93" t="n"/>
      <c r="F129" s="93" t="n"/>
      <c r="G129" s="93" t="n"/>
      <c r="H129" s="93" t="n"/>
      <c r="I129" s="105">
        <f>IF($A129="","",SUM(D129:H129))</f>
        <v/>
      </c>
    </row>
    <row r="130" ht="15" customHeight="1" s="71">
      <c r="A130" s="87" t="n"/>
      <c r="B130" s="91" t="n"/>
      <c r="C130" s="89">
        <f>IF(OR($A130="",$B130=""),"",IFERROR(VLOOKUP($B130,Employés!$A:$B,2,0),""))</f>
        <v/>
      </c>
      <c r="D130" s="93" t="n"/>
      <c r="E130" s="93" t="n"/>
      <c r="F130" s="93" t="n"/>
      <c r="G130" s="93" t="n"/>
      <c r="H130" s="93" t="n"/>
      <c r="I130" s="105">
        <f>IF($A130="","",SUM(D130:H130))</f>
        <v/>
      </c>
    </row>
    <row r="131" ht="15" customHeight="1" s="71">
      <c r="A131" s="87" t="n"/>
      <c r="B131" s="91" t="n"/>
      <c r="C131" s="89">
        <f>IF(OR($A131="",$B131=""),"",IFERROR(VLOOKUP($B131,Employés!$A:$B,2,0),""))</f>
        <v/>
      </c>
      <c r="D131" s="93" t="n"/>
      <c r="E131" s="93" t="n"/>
      <c r="F131" s="93" t="n"/>
      <c r="G131" s="93" t="n"/>
      <c r="H131" s="93" t="n"/>
      <c r="I131" s="105">
        <f>IF($A131="","",SUM(D131:H131))</f>
        <v/>
      </c>
    </row>
    <row r="132" ht="15" customHeight="1" s="71">
      <c r="A132" s="87" t="n"/>
      <c r="B132" s="91" t="n"/>
      <c r="C132" s="89">
        <f>IF(OR($A132="",$B132=""),"",IFERROR(VLOOKUP($B132,Employés!$A:$B,2,0),""))</f>
        <v/>
      </c>
      <c r="D132" s="93" t="n"/>
      <c r="E132" s="93" t="n"/>
      <c r="F132" s="93" t="n"/>
      <c r="G132" s="93" t="n"/>
      <c r="H132" s="93" t="n"/>
      <c r="I132" s="105">
        <f>IF($A132="","",SUM(D132:H132))</f>
        <v/>
      </c>
    </row>
    <row r="133" ht="15" customHeight="1" s="71">
      <c r="A133" s="87" t="n"/>
      <c r="B133" s="91" t="n"/>
      <c r="C133" s="89">
        <f>IF(OR($A133="",$B133=""),"",IFERROR(VLOOKUP($B133,Employés!$A:$B,2,0),""))</f>
        <v/>
      </c>
      <c r="D133" s="93" t="n"/>
      <c r="E133" s="93" t="n"/>
      <c r="F133" s="93" t="n"/>
      <c r="G133" s="93" t="n"/>
      <c r="H133" s="93" t="n"/>
      <c r="I133" s="105">
        <f>IF($A133="","",SUM(D133:H133))</f>
        <v/>
      </c>
    </row>
    <row r="134" ht="15" customHeight="1" s="71">
      <c r="A134" s="87" t="n"/>
      <c r="B134" s="91" t="n"/>
      <c r="C134" s="89">
        <f>IF(OR($A134="",$B134=""),"",IFERROR(VLOOKUP($B134,Employés!$A:$B,2,0),""))</f>
        <v/>
      </c>
      <c r="D134" s="93" t="n"/>
      <c r="E134" s="93" t="n"/>
      <c r="F134" s="93" t="n"/>
      <c r="G134" s="93" t="n"/>
      <c r="H134" s="93" t="n"/>
      <c r="I134" s="105">
        <f>IF($A134="","",SUM(D134:H134))</f>
        <v/>
      </c>
    </row>
    <row r="135" ht="15" customHeight="1" s="71">
      <c r="A135" s="87" t="n"/>
      <c r="B135" s="91" t="n"/>
      <c r="C135" s="89">
        <f>IF(OR($A135="",$B135=""),"",IFERROR(VLOOKUP($B135,Employés!$A:$B,2,0),""))</f>
        <v/>
      </c>
      <c r="D135" s="93" t="n"/>
      <c r="E135" s="93" t="n"/>
      <c r="F135" s="93" t="n"/>
      <c r="G135" s="93" t="n"/>
      <c r="H135" s="93" t="n"/>
      <c r="I135" s="105">
        <f>IF($A135="","",SUM(D135:H135))</f>
        <v/>
      </c>
    </row>
    <row r="136" ht="15" customHeight="1" s="71">
      <c r="A136" s="87" t="n"/>
      <c r="B136" s="91" t="n"/>
      <c r="C136" s="89">
        <f>IF(OR($A136="",$B136=""),"",IFERROR(VLOOKUP($B136,Employés!$A:$B,2,0),""))</f>
        <v/>
      </c>
      <c r="D136" s="93" t="n"/>
      <c r="E136" s="93" t="n"/>
      <c r="F136" s="93" t="n"/>
      <c r="G136" s="93" t="n"/>
      <c r="H136" s="93" t="n"/>
      <c r="I136" s="105">
        <f>IF($A136="","",SUM(D136:H136))</f>
        <v/>
      </c>
    </row>
    <row r="137" ht="15" customHeight="1" s="71">
      <c r="A137" s="87" t="n"/>
      <c r="B137" s="91" t="n"/>
      <c r="C137" s="89">
        <f>IF(OR($A137="",$B137=""),"",IFERROR(VLOOKUP($B137,Employés!$A:$B,2,0),""))</f>
        <v/>
      </c>
      <c r="D137" s="93" t="n"/>
      <c r="E137" s="93" t="n"/>
      <c r="F137" s="93" t="n"/>
      <c r="G137" s="93" t="n"/>
      <c r="H137" s="93" t="n"/>
      <c r="I137" s="105">
        <f>IF($A137="","",SUM(D137:H137))</f>
        <v/>
      </c>
    </row>
    <row r="138" ht="15" customHeight="1" s="71">
      <c r="A138" s="87" t="n"/>
      <c r="B138" s="91" t="n"/>
      <c r="C138" s="89">
        <f>IF(OR($A138="",$B138=""),"",IFERROR(VLOOKUP($B138,Employés!$A:$B,2,0),""))</f>
        <v/>
      </c>
      <c r="D138" s="93" t="n"/>
      <c r="E138" s="93" t="n"/>
      <c r="F138" s="93" t="n"/>
      <c r="G138" s="93" t="n"/>
      <c r="H138" s="93" t="n"/>
      <c r="I138" s="105">
        <f>IF($A138="","",SUM(D138:H138))</f>
        <v/>
      </c>
    </row>
    <row r="139" ht="15" customHeight="1" s="71">
      <c r="A139" s="87" t="n"/>
      <c r="B139" s="91" t="n"/>
      <c r="C139" s="89">
        <f>IF(OR($A139="",$B139=""),"",IFERROR(VLOOKUP($B139,Employés!$A:$B,2,0),""))</f>
        <v/>
      </c>
      <c r="D139" s="93" t="n"/>
      <c r="E139" s="93" t="n"/>
      <c r="F139" s="93" t="n"/>
      <c r="G139" s="93" t="n"/>
      <c r="H139" s="93" t="n"/>
      <c r="I139" s="105">
        <f>IF($A139="","",SUM(D139:H139))</f>
        <v/>
      </c>
    </row>
    <row r="140" ht="15" customHeight="1" s="71">
      <c r="A140" s="87" t="n"/>
      <c r="B140" s="91" t="n"/>
      <c r="C140" s="89">
        <f>IF(OR($A140="",$B140=""),"",IFERROR(VLOOKUP($B140,Employés!$A:$B,2,0),""))</f>
        <v/>
      </c>
      <c r="D140" s="93" t="n"/>
      <c r="E140" s="93" t="n"/>
      <c r="F140" s="93" t="n"/>
      <c r="G140" s="93" t="n"/>
      <c r="H140" s="93" t="n"/>
      <c r="I140" s="105">
        <f>IF($A140="","",SUM(D140:H140))</f>
        <v/>
      </c>
    </row>
    <row r="141" ht="15" customHeight="1" s="71">
      <c r="A141" s="87" t="n"/>
      <c r="B141" s="91" t="n"/>
      <c r="C141" s="89">
        <f>IF(OR($A141="",$B141=""),"",IFERROR(VLOOKUP($B141,Employés!$A:$B,2,0),""))</f>
        <v/>
      </c>
      <c r="D141" s="93" t="n"/>
      <c r="E141" s="93" t="n"/>
      <c r="F141" s="93" t="n"/>
      <c r="G141" s="93" t="n"/>
      <c r="H141" s="93" t="n"/>
      <c r="I141" s="105">
        <f>IF($A141="","",SUM(D141:H141))</f>
        <v/>
      </c>
    </row>
    <row r="142" ht="15" customHeight="1" s="71">
      <c r="A142" s="87" t="n"/>
      <c r="B142" s="91" t="n"/>
      <c r="C142" s="89">
        <f>IF(OR($A142="",$B142=""),"",IFERROR(VLOOKUP($B142,Employés!$A:$B,2,0),""))</f>
        <v/>
      </c>
      <c r="D142" s="93" t="n"/>
      <c r="E142" s="93" t="n"/>
      <c r="F142" s="93" t="n"/>
      <c r="G142" s="93" t="n"/>
      <c r="H142" s="93" t="n"/>
      <c r="I142" s="105">
        <f>IF($A142="","",SUM(D142:H142))</f>
        <v/>
      </c>
    </row>
    <row r="143" ht="15" customHeight="1" s="71">
      <c r="A143" s="87" t="n"/>
      <c r="B143" s="91" t="n"/>
      <c r="C143" s="89">
        <f>IF(OR($A143="",$B143=""),"",IFERROR(VLOOKUP($B143,Employés!$A:$B,2,0),""))</f>
        <v/>
      </c>
      <c r="D143" s="93" t="n"/>
      <c r="E143" s="93" t="n"/>
      <c r="F143" s="93" t="n"/>
      <c r="G143" s="93" t="n"/>
      <c r="H143" s="93" t="n"/>
      <c r="I143" s="105">
        <f>IF($A143="","",SUM(D143:H143))</f>
        <v/>
      </c>
    </row>
    <row r="144" ht="15" customHeight="1" s="71">
      <c r="A144" s="87" t="n"/>
      <c r="B144" s="91" t="n"/>
      <c r="C144" s="89">
        <f>IF(OR($A144="",$B144=""),"",IFERROR(VLOOKUP($B144,Employés!$A:$B,2,0),""))</f>
        <v/>
      </c>
      <c r="D144" s="93" t="n"/>
      <c r="E144" s="93" t="n"/>
      <c r="F144" s="93" t="n"/>
      <c r="G144" s="93" t="n"/>
      <c r="H144" s="93" t="n"/>
      <c r="I144" s="105">
        <f>IF($A144="","",SUM(D144:H144))</f>
        <v/>
      </c>
    </row>
    <row r="145" ht="15" customHeight="1" s="71">
      <c r="A145" s="87" t="n"/>
      <c r="B145" s="91" t="n"/>
      <c r="C145" s="89">
        <f>IF(OR($A145="",$B145=""),"",IFERROR(VLOOKUP($B145,Employés!$A:$B,2,0),""))</f>
        <v/>
      </c>
      <c r="D145" s="93" t="n"/>
      <c r="E145" s="93" t="n"/>
      <c r="F145" s="93" t="n"/>
      <c r="G145" s="93" t="n"/>
      <c r="H145" s="93" t="n"/>
      <c r="I145" s="105">
        <f>IF($A145="","",SUM(D145:H145))</f>
        <v/>
      </c>
    </row>
    <row r="146" ht="15" customHeight="1" s="71">
      <c r="A146" s="87" t="n"/>
      <c r="B146" s="91" t="n"/>
      <c r="C146" s="89">
        <f>IF(OR($A146="",$B146=""),"",IFERROR(VLOOKUP($B146,Employés!$A:$B,2,0),""))</f>
        <v/>
      </c>
      <c r="D146" s="93" t="n"/>
      <c r="E146" s="93" t="n"/>
      <c r="F146" s="93" t="n"/>
      <c r="G146" s="93" t="n"/>
      <c r="H146" s="93" t="n"/>
      <c r="I146" s="105">
        <f>IF($A146="","",SUM(D146:H146))</f>
        <v/>
      </c>
    </row>
    <row r="147" ht="15" customHeight="1" s="71">
      <c r="A147" s="87" t="n"/>
      <c r="B147" s="91" t="n"/>
      <c r="C147" s="89">
        <f>IF(OR($A147="",$B147=""),"",IFERROR(VLOOKUP($B147,Employés!$A:$B,2,0),""))</f>
        <v/>
      </c>
      <c r="D147" s="93" t="n"/>
      <c r="E147" s="93" t="n"/>
      <c r="F147" s="93" t="n"/>
      <c r="G147" s="93" t="n"/>
      <c r="H147" s="93" t="n"/>
      <c r="I147" s="105">
        <f>IF($A147="","",SUM(D147:H147))</f>
        <v/>
      </c>
    </row>
    <row r="148" ht="15" customHeight="1" s="71">
      <c r="A148" s="87" t="n"/>
      <c r="B148" s="91" t="n"/>
      <c r="C148" s="89">
        <f>IF(OR($A148="",$B148=""),"",IFERROR(VLOOKUP($B148,Employés!$A:$B,2,0),""))</f>
        <v/>
      </c>
      <c r="D148" s="93" t="n"/>
      <c r="E148" s="93" t="n"/>
      <c r="F148" s="93" t="n"/>
      <c r="G148" s="93" t="n"/>
      <c r="H148" s="93" t="n"/>
      <c r="I148" s="105">
        <f>IF($A148="","",SUM(D148:H148))</f>
        <v/>
      </c>
    </row>
    <row r="149" ht="15" customHeight="1" s="71">
      <c r="A149" s="87" t="n"/>
      <c r="B149" s="91" t="n"/>
      <c r="C149" s="89">
        <f>IF(OR($A149="",$B149=""),"",IFERROR(VLOOKUP($B149,Employés!$A:$B,2,0),""))</f>
        <v/>
      </c>
      <c r="D149" s="93" t="n"/>
      <c r="E149" s="93" t="n"/>
      <c r="F149" s="93" t="n"/>
      <c r="G149" s="93" t="n"/>
      <c r="H149" s="93" t="n"/>
      <c r="I149" s="105">
        <f>IF($A149="","",SUM(D149:H149))</f>
        <v/>
      </c>
    </row>
    <row r="150" ht="15" customHeight="1" s="71">
      <c r="A150" s="87" t="n"/>
      <c r="B150" s="91" t="n"/>
      <c r="C150" s="89">
        <f>IF(OR($A150="",$B150=""),"",IFERROR(VLOOKUP($B150,Employés!$A:$B,2,0),""))</f>
        <v/>
      </c>
      <c r="D150" s="93" t="n"/>
      <c r="E150" s="93" t="n"/>
      <c r="F150" s="93" t="n"/>
      <c r="G150" s="93" t="n"/>
      <c r="H150" s="93" t="n"/>
      <c r="I150" s="105">
        <f>IF($A150="","",SUM(D150:H150))</f>
        <v/>
      </c>
    </row>
    <row r="151" ht="15" customHeight="1" s="71">
      <c r="A151" s="87" t="n"/>
      <c r="B151" s="91" t="n"/>
      <c r="C151" s="89">
        <f>IF(OR($A151="",$B151=""),"",IFERROR(VLOOKUP($B151,Employés!$A:$B,2,0),""))</f>
        <v/>
      </c>
      <c r="D151" s="93" t="n"/>
      <c r="E151" s="93" t="n"/>
      <c r="F151" s="93" t="n"/>
      <c r="G151" s="93" t="n"/>
      <c r="H151" s="93" t="n"/>
      <c r="I151" s="105">
        <f>IF($A151="","",SUM(D151:H151))</f>
        <v/>
      </c>
    </row>
    <row r="152" ht="15" customHeight="1" s="71">
      <c r="A152" s="87" t="n"/>
      <c r="B152" s="91" t="n"/>
      <c r="C152" s="89">
        <f>IF(OR($A152="",$B152=""),"",IFERROR(VLOOKUP($B152,Employés!$A:$B,2,0),""))</f>
        <v/>
      </c>
      <c r="D152" s="93" t="n"/>
      <c r="E152" s="93" t="n"/>
      <c r="F152" s="93" t="n"/>
      <c r="G152" s="93" t="n"/>
      <c r="H152" s="93" t="n"/>
      <c r="I152" s="105">
        <f>IF($A152="","",SUM(D152:H152))</f>
        <v/>
      </c>
    </row>
    <row r="153" ht="15" customHeight="1" s="71">
      <c r="A153" s="87" t="n"/>
      <c r="B153" s="91" t="n"/>
      <c r="C153" s="89">
        <f>IF(OR($A153="",$B153=""),"",IFERROR(VLOOKUP($B153,Employés!$A:$B,2,0),""))</f>
        <v/>
      </c>
      <c r="D153" s="93" t="n"/>
      <c r="E153" s="93" t="n"/>
      <c r="F153" s="93" t="n"/>
      <c r="G153" s="93" t="n"/>
      <c r="H153" s="93" t="n"/>
      <c r="I153" s="105">
        <f>IF($A153="","",SUM(D153:H153))</f>
        <v/>
      </c>
    </row>
    <row r="154" ht="15" customHeight="1" s="71">
      <c r="A154" s="87" t="n"/>
      <c r="B154" s="91" t="n"/>
      <c r="C154" s="89">
        <f>IF(OR($A154="",$B154=""),"",IFERROR(VLOOKUP($B154,Employés!$A:$B,2,0),""))</f>
        <v/>
      </c>
      <c r="D154" s="93" t="n"/>
      <c r="E154" s="93" t="n"/>
      <c r="F154" s="93" t="n"/>
      <c r="G154" s="93" t="n"/>
      <c r="H154" s="93" t="n"/>
      <c r="I154" s="105">
        <f>IF($A154="","",SUM(D154:H154))</f>
        <v/>
      </c>
    </row>
    <row r="155" ht="15" customHeight="1" s="71">
      <c r="A155" s="87" t="n"/>
      <c r="B155" s="91" t="n"/>
      <c r="C155" s="89">
        <f>IF(OR($A155="",$B155=""),"",IFERROR(VLOOKUP($B155,Employés!$A:$B,2,0),""))</f>
        <v/>
      </c>
      <c r="D155" s="93" t="n"/>
      <c r="E155" s="93" t="n"/>
      <c r="F155" s="93" t="n"/>
      <c r="G155" s="93" t="n"/>
      <c r="H155" s="93" t="n"/>
      <c r="I155" s="105">
        <f>IF($A155="","",SUM(D155:H155))</f>
        <v/>
      </c>
    </row>
    <row r="156" ht="15" customHeight="1" s="71">
      <c r="A156" s="87" t="n"/>
      <c r="B156" s="91" t="n"/>
      <c r="C156" s="89">
        <f>IF(OR($A156="",$B156=""),"",IFERROR(VLOOKUP($B156,Employés!$A:$B,2,0),""))</f>
        <v/>
      </c>
      <c r="D156" s="93" t="n"/>
      <c r="E156" s="93" t="n"/>
      <c r="F156" s="93" t="n"/>
      <c r="G156" s="93" t="n"/>
      <c r="H156" s="93" t="n"/>
      <c r="I156" s="105">
        <f>IF($A156="","",SUM(D156:H156))</f>
        <v/>
      </c>
    </row>
    <row r="157" ht="15" customHeight="1" s="71">
      <c r="A157" s="87" t="n"/>
      <c r="B157" s="91" t="n"/>
      <c r="C157" s="89">
        <f>IF(OR($A157="",$B157=""),"",IFERROR(VLOOKUP($B157,Employés!$A:$B,2,0),""))</f>
        <v/>
      </c>
      <c r="D157" s="93" t="n"/>
      <c r="E157" s="93" t="n"/>
      <c r="F157" s="93" t="n"/>
      <c r="G157" s="93" t="n"/>
      <c r="H157" s="93" t="n"/>
      <c r="I157" s="105">
        <f>IF($A157="","",SUM(D157:H157))</f>
        <v/>
      </c>
    </row>
    <row r="158" ht="15" customHeight="1" s="71">
      <c r="A158" s="87" t="n"/>
      <c r="B158" s="91" t="n"/>
      <c r="C158" s="89">
        <f>IF(OR($A158="",$B158=""),"",IFERROR(VLOOKUP($B158,Employés!$A:$B,2,0),""))</f>
        <v/>
      </c>
      <c r="D158" s="93" t="n"/>
      <c r="E158" s="93" t="n"/>
      <c r="F158" s="93" t="n"/>
      <c r="G158" s="93" t="n"/>
      <c r="H158" s="93" t="n"/>
      <c r="I158" s="105">
        <f>IF($A158="","",SUM(D158:H158))</f>
        <v/>
      </c>
    </row>
    <row r="159" ht="15" customHeight="1" s="71">
      <c r="A159" s="87" t="n"/>
      <c r="B159" s="91" t="n"/>
      <c r="C159" s="89">
        <f>IF(OR($A159="",$B159=""),"",IFERROR(VLOOKUP($B159,Employés!$A:$B,2,0),""))</f>
        <v/>
      </c>
      <c r="D159" s="93" t="n"/>
      <c r="E159" s="93" t="n"/>
      <c r="F159" s="93" t="n"/>
      <c r="G159" s="93" t="n"/>
      <c r="H159" s="93" t="n"/>
      <c r="I159" s="105">
        <f>IF($A159="","",SUM(D159:H159))</f>
        <v/>
      </c>
    </row>
    <row r="160" ht="15" customHeight="1" s="71">
      <c r="A160" s="87" t="n"/>
      <c r="B160" s="91" t="n"/>
      <c r="C160" s="89">
        <f>IF(OR($A160="",$B160=""),"",IFERROR(VLOOKUP($B160,Employés!$A:$B,2,0),""))</f>
        <v/>
      </c>
      <c r="D160" s="93" t="n"/>
      <c r="E160" s="93" t="n"/>
      <c r="F160" s="93" t="n"/>
      <c r="G160" s="93" t="n"/>
      <c r="H160" s="93" t="n"/>
      <c r="I160" s="105">
        <f>IF($A160="","",SUM(D160:H160))</f>
        <v/>
      </c>
    </row>
    <row r="161" ht="15" customHeight="1" s="71">
      <c r="A161" s="87" t="n"/>
      <c r="B161" s="91" t="n"/>
      <c r="C161" s="89">
        <f>IF(OR($A161="",$B161=""),"",IFERROR(VLOOKUP($B161,Employés!$A:$B,2,0),""))</f>
        <v/>
      </c>
      <c r="D161" s="93" t="n"/>
      <c r="E161" s="93" t="n"/>
      <c r="F161" s="93" t="n"/>
      <c r="G161" s="93" t="n"/>
      <c r="H161" s="93" t="n"/>
      <c r="I161" s="105">
        <f>IF($A161="","",SUM(D161:H161))</f>
        <v/>
      </c>
    </row>
    <row r="162" ht="15" customHeight="1" s="71">
      <c r="A162" s="87" t="n"/>
      <c r="B162" s="91" t="n"/>
      <c r="C162" s="89">
        <f>IF(OR($A162="",$B162=""),"",IFERROR(VLOOKUP($B162,Employés!$A:$B,2,0),""))</f>
        <v/>
      </c>
      <c r="D162" s="93" t="n"/>
      <c r="E162" s="93" t="n"/>
      <c r="F162" s="93" t="n"/>
      <c r="G162" s="93" t="n"/>
      <c r="H162" s="93" t="n"/>
      <c r="I162" s="105">
        <f>IF($A162="","",SUM(D162:H162))</f>
        <v/>
      </c>
    </row>
    <row r="163" ht="15" customHeight="1" s="71">
      <c r="A163" s="87" t="n"/>
      <c r="B163" s="91" t="n"/>
      <c r="C163" s="89">
        <f>IF(OR($A163="",$B163=""),"",IFERROR(VLOOKUP($B163,Employés!$A:$B,2,0),""))</f>
        <v/>
      </c>
      <c r="D163" s="93" t="n"/>
      <c r="E163" s="93" t="n"/>
      <c r="F163" s="93" t="n"/>
      <c r="G163" s="93" t="n"/>
      <c r="H163" s="93" t="n"/>
      <c r="I163" s="105">
        <f>IF($A163="","",SUM(D163:H163))</f>
        <v/>
      </c>
    </row>
    <row r="164" ht="15" customHeight="1" s="71">
      <c r="A164" s="87" t="n"/>
      <c r="B164" s="91" t="n"/>
      <c r="C164" s="89">
        <f>IF(OR($A164="",$B164=""),"",IFERROR(VLOOKUP($B164,Employés!$A:$B,2,0),""))</f>
        <v/>
      </c>
      <c r="D164" s="93" t="n"/>
      <c r="E164" s="93" t="n"/>
      <c r="F164" s="93" t="n"/>
      <c r="G164" s="93" t="n"/>
      <c r="H164" s="93" t="n"/>
      <c r="I164" s="105">
        <f>IF($A164="","",SUM(D164:H164))</f>
        <v/>
      </c>
    </row>
    <row r="165" ht="15" customHeight="1" s="71">
      <c r="A165" s="87" t="n"/>
      <c r="B165" s="91" t="n"/>
      <c r="C165" s="89">
        <f>IF(OR($A165="",$B165=""),"",IFERROR(VLOOKUP($B165,Employés!$A:$B,2,0),""))</f>
        <v/>
      </c>
      <c r="D165" s="93" t="n"/>
      <c r="E165" s="93" t="n"/>
      <c r="F165" s="93" t="n"/>
      <c r="G165" s="93" t="n"/>
      <c r="H165" s="93" t="n"/>
      <c r="I165" s="105">
        <f>IF($A165="","",SUM(D165:H165))</f>
        <v/>
      </c>
    </row>
    <row r="166" ht="15" customHeight="1" s="71">
      <c r="A166" s="87" t="n"/>
      <c r="B166" s="91" t="n"/>
      <c r="C166" s="89">
        <f>IF(OR($A166="",$B166=""),"",IFERROR(VLOOKUP($B166,Employés!$A:$B,2,0),""))</f>
        <v/>
      </c>
      <c r="D166" s="93" t="n"/>
      <c r="E166" s="93" t="n"/>
      <c r="F166" s="93" t="n"/>
      <c r="G166" s="93" t="n"/>
      <c r="H166" s="93" t="n"/>
      <c r="I166" s="105">
        <f>IF($A166="","",SUM(D166:H166))</f>
        <v/>
      </c>
    </row>
    <row r="167" ht="15" customHeight="1" s="71">
      <c r="A167" s="87" t="n"/>
      <c r="B167" s="91" t="n"/>
      <c r="C167" s="89">
        <f>IF(OR($A167="",$B167=""),"",IFERROR(VLOOKUP($B167,Employés!$A:$B,2,0),""))</f>
        <v/>
      </c>
      <c r="D167" s="93" t="n"/>
      <c r="E167" s="93" t="n"/>
      <c r="F167" s="93" t="n"/>
      <c r="G167" s="93" t="n"/>
      <c r="H167" s="93" t="n"/>
      <c r="I167" s="105">
        <f>IF($A167="","",SUM(D167:H167))</f>
        <v/>
      </c>
    </row>
    <row r="168" ht="15" customHeight="1" s="71">
      <c r="A168" s="87" t="n"/>
      <c r="B168" s="91" t="n"/>
      <c r="C168" s="89">
        <f>IF(OR($A168="",$B168=""),"",IFERROR(VLOOKUP($B168,Employés!$A:$B,2,0),""))</f>
        <v/>
      </c>
      <c r="D168" s="93" t="n"/>
      <c r="E168" s="93" t="n"/>
      <c r="F168" s="93" t="n"/>
      <c r="G168" s="93" t="n"/>
      <c r="H168" s="93" t="n"/>
      <c r="I168" s="105">
        <f>IF($A168="","",SUM(D168:H168))</f>
        <v/>
      </c>
    </row>
    <row r="169" ht="15" customHeight="1" s="71">
      <c r="A169" s="87" t="n"/>
      <c r="B169" s="91" t="n"/>
      <c r="C169" s="89">
        <f>IF(OR($A169="",$B169=""),"",IFERROR(VLOOKUP($B169,Employés!$A:$B,2,0),""))</f>
        <v/>
      </c>
      <c r="D169" s="93" t="n"/>
      <c r="E169" s="93" t="n"/>
      <c r="F169" s="93" t="n"/>
      <c r="G169" s="93" t="n"/>
      <c r="H169" s="93" t="n"/>
      <c r="I169" s="105">
        <f>IF($A169="","",SUM(D169:H169))</f>
        <v/>
      </c>
    </row>
    <row r="170" ht="15" customHeight="1" s="71">
      <c r="A170" s="87" t="n"/>
      <c r="B170" s="91" t="n"/>
      <c r="C170" s="89">
        <f>IF(OR($A170="",$B170=""),"",IFERROR(VLOOKUP($B170,Employés!$A:$B,2,0),""))</f>
        <v/>
      </c>
      <c r="D170" s="93" t="n"/>
      <c r="E170" s="93" t="n"/>
      <c r="F170" s="93" t="n"/>
      <c r="G170" s="93" t="n"/>
      <c r="H170" s="93" t="n"/>
      <c r="I170" s="105">
        <f>IF($A170="","",SUM(D170:H170))</f>
        <v/>
      </c>
    </row>
    <row r="171" ht="15" customHeight="1" s="71">
      <c r="A171" s="87" t="n"/>
      <c r="B171" s="91" t="n"/>
      <c r="C171" s="89">
        <f>IF(OR($A171="",$B171=""),"",IFERROR(VLOOKUP($B171,Employés!$A:$B,2,0),""))</f>
        <v/>
      </c>
      <c r="D171" s="93" t="n"/>
      <c r="E171" s="93" t="n"/>
      <c r="F171" s="93" t="n"/>
      <c r="G171" s="93" t="n"/>
      <c r="H171" s="93" t="n"/>
      <c r="I171" s="105">
        <f>IF($A171="","",SUM(D171:H171))</f>
        <v/>
      </c>
    </row>
    <row r="172" ht="15" customHeight="1" s="71">
      <c r="A172" s="87" t="n"/>
      <c r="B172" s="91" t="n"/>
      <c r="C172" s="89">
        <f>IF(OR($A172="",$B172=""),"",IFERROR(VLOOKUP($B172,Employés!$A:$B,2,0),""))</f>
        <v/>
      </c>
      <c r="D172" s="93" t="n"/>
      <c r="E172" s="93" t="n"/>
      <c r="F172" s="93" t="n"/>
      <c r="G172" s="93" t="n"/>
      <c r="H172" s="93" t="n"/>
      <c r="I172" s="105">
        <f>IF($A172="","",SUM(D172:H172))</f>
        <v/>
      </c>
    </row>
    <row r="173" ht="15" customHeight="1" s="71">
      <c r="A173" s="87" t="n"/>
      <c r="B173" s="91" t="n"/>
      <c r="C173" s="89">
        <f>IF(OR($A173="",$B173=""),"",IFERROR(VLOOKUP($B173,Employés!$A:$B,2,0),""))</f>
        <v/>
      </c>
      <c r="D173" s="93" t="n"/>
      <c r="E173" s="93" t="n"/>
      <c r="F173" s="93" t="n"/>
      <c r="G173" s="93" t="n"/>
      <c r="H173" s="93" t="n"/>
      <c r="I173" s="105">
        <f>IF($A173="","",SUM(D173:H173))</f>
        <v/>
      </c>
    </row>
    <row r="174" ht="15" customHeight="1" s="71">
      <c r="A174" s="87" t="n"/>
      <c r="B174" s="91" t="n"/>
      <c r="C174" s="89">
        <f>IF(OR($A174="",$B174=""),"",IFERROR(VLOOKUP($B174,Employés!$A:$B,2,0),""))</f>
        <v/>
      </c>
      <c r="D174" s="93" t="n"/>
      <c r="E174" s="93" t="n"/>
      <c r="F174" s="93" t="n"/>
      <c r="G174" s="93" t="n"/>
      <c r="H174" s="93" t="n"/>
      <c r="I174" s="105">
        <f>IF($A174="","",SUM(D174:H174))</f>
        <v/>
      </c>
    </row>
    <row r="175" ht="15" customHeight="1" s="71">
      <c r="A175" s="87" t="n"/>
      <c r="B175" s="91" t="n"/>
      <c r="C175" s="89">
        <f>IF(OR($A175="",$B175=""),"",IFERROR(VLOOKUP($B175,Employés!$A:$B,2,0),""))</f>
        <v/>
      </c>
      <c r="D175" s="93" t="n"/>
      <c r="E175" s="93" t="n"/>
      <c r="F175" s="93" t="n"/>
      <c r="G175" s="93" t="n"/>
      <c r="H175" s="93" t="n"/>
      <c r="I175" s="105">
        <f>IF($A175="","",SUM(D175:H175))</f>
        <v/>
      </c>
    </row>
    <row r="176" ht="15" customHeight="1" s="71">
      <c r="A176" s="87" t="n"/>
      <c r="B176" s="91" t="n"/>
      <c r="C176" s="89">
        <f>IF(OR($A176="",$B176=""),"",IFERROR(VLOOKUP($B176,Employés!$A:$B,2,0),""))</f>
        <v/>
      </c>
      <c r="D176" s="93" t="n"/>
      <c r="E176" s="93" t="n"/>
      <c r="F176" s="93" t="n"/>
      <c r="G176" s="93" t="n"/>
      <c r="H176" s="93" t="n"/>
      <c r="I176" s="105">
        <f>IF($A176="","",SUM(D176:H176))</f>
        <v/>
      </c>
    </row>
    <row r="177" ht="15" customHeight="1" s="71">
      <c r="A177" s="87" t="n"/>
      <c r="B177" s="91" t="n"/>
      <c r="C177" s="89">
        <f>IF(OR($A177="",$B177=""),"",IFERROR(VLOOKUP($B177,Employés!$A:$B,2,0),""))</f>
        <v/>
      </c>
      <c r="D177" s="93" t="n"/>
      <c r="E177" s="93" t="n"/>
      <c r="F177" s="93" t="n"/>
      <c r="G177" s="93" t="n"/>
      <c r="H177" s="93" t="n"/>
      <c r="I177" s="105">
        <f>IF($A177="","",SUM(D177:H177))</f>
        <v/>
      </c>
    </row>
    <row r="178" ht="15" customHeight="1" s="71">
      <c r="A178" s="87" t="n"/>
      <c r="B178" s="91" t="n"/>
      <c r="C178" s="89">
        <f>IF(OR($A178="",$B178=""),"",IFERROR(VLOOKUP($B178,Employés!$A:$B,2,0),""))</f>
        <v/>
      </c>
      <c r="D178" s="93" t="n"/>
      <c r="E178" s="93" t="n"/>
      <c r="F178" s="93" t="n"/>
      <c r="G178" s="93" t="n"/>
      <c r="H178" s="93" t="n"/>
      <c r="I178" s="105">
        <f>IF($A178="","",SUM(D178:H178))</f>
        <v/>
      </c>
    </row>
    <row r="179" ht="15" customHeight="1" s="71">
      <c r="A179" s="87" t="n"/>
      <c r="B179" s="91" t="n"/>
      <c r="C179" s="89">
        <f>IF(OR($A179="",$B179=""),"",IFERROR(VLOOKUP($B179,Employés!$A:$B,2,0),""))</f>
        <v/>
      </c>
      <c r="D179" s="93" t="n"/>
      <c r="E179" s="93" t="n"/>
      <c r="F179" s="93" t="n"/>
      <c r="G179" s="93" t="n"/>
      <c r="H179" s="93" t="n"/>
      <c r="I179" s="105">
        <f>IF($A179="","",SUM(D179:H179))</f>
        <v/>
      </c>
    </row>
    <row r="180" ht="15" customHeight="1" s="71">
      <c r="A180" s="87" t="n"/>
      <c r="B180" s="91" t="n"/>
      <c r="C180" s="89">
        <f>IF(OR($A180="",$B180=""),"",IFERROR(VLOOKUP($B180,Employés!$A:$B,2,0),""))</f>
        <v/>
      </c>
      <c r="D180" s="93" t="n"/>
      <c r="E180" s="93" t="n"/>
      <c r="F180" s="93" t="n"/>
      <c r="G180" s="93" t="n"/>
      <c r="H180" s="93" t="n"/>
      <c r="I180" s="105">
        <f>IF($A180="","",SUM(D180:H180))</f>
        <v/>
      </c>
    </row>
    <row r="181" ht="15" customHeight="1" s="71">
      <c r="A181" s="87" t="n"/>
      <c r="B181" s="91" t="n"/>
      <c r="C181" s="89">
        <f>IF(OR($A181="",$B181=""),"",IFERROR(VLOOKUP($B181,Employés!$A:$B,2,0),""))</f>
        <v/>
      </c>
      <c r="D181" s="93" t="n"/>
      <c r="E181" s="93" t="n"/>
      <c r="F181" s="93" t="n"/>
      <c r="G181" s="93" t="n"/>
      <c r="H181" s="93" t="n"/>
      <c r="I181" s="105">
        <f>IF($A181="","",SUM(D181:H181))</f>
        <v/>
      </c>
    </row>
    <row r="182" ht="15" customHeight="1" s="71">
      <c r="A182" s="87" t="n"/>
      <c r="B182" s="91" t="n"/>
      <c r="C182" s="89">
        <f>IF(OR($A182="",$B182=""),"",IFERROR(VLOOKUP($B182,Employés!$A:$B,2,0),""))</f>
        <v/>
      </c>
      <c r="D182" s="93" t="n"/>
      <c r="E182" s="93" t="n"/>
      <c r="F182" s="93" t="n"/>
      <c r="G182" s="93" t="n"/>
      <c r="H182" s="93" t="n"/>
      <c r="I182" s="105">
        <f>IF($A182="","",SUM(D182:H182))</f>
        <v/>
      </c>
    </row>
    <row r="183" ht="15" customHeight="1" s="71">
      <c r="A183" s="87" t="n"/>
      <c r="B183" s="91" t="n"/>
      <c r="C183" s="89">
        <f>IF(OR($A183="",$B183=""),"",IFERROR(VLOOKUP($B183,Employés!$A:$B,2,0),""))</f>
        <v/>
      </c>
      <c r="D183" s="93" t="n"/>
      <c r="E183" s="93" t="n"/>
      <c r="F183" s="93" t="n"/>
      <c r="G183" s="93" t="n"/>
      <c r="H183" s="93" t="n"/>
      <c r="I183" s="105">
        <f>IF($A183="","",SUM(D183:H183))</f>
        <v/>
      </c>
    </row>
    <row r="184" ht="15" customHeight="1" s="71">
      <c r="A184" s="87" t="n"/>
      <c r="B184" s="91" t="n"/>
      <c r="C184" s="89">
        <f>IF(OR($A184="",$B184=""),"",IFERROR(VLOOKUP($B184,Employés!$A:$B,2,0),""))</f>
        <v/>
      </c>
      <c r="D184" s="93" t="n"/>
      <c r="E184" s="93" t="n"/>
      <c r="F184" s="93" t="n"/>
      <c r="G184" s="93" t="n"/>
      <c r="H184" s="93" t="n"/>
      <c r="I184" s="105">
        <f>IF($A184="","",SUM(D184:H184))</f>
        <v/>
      </c>
    </row>
    <row r="185" ht="15" customHeight="1" s="71">
      <c r="A185" s="87" t="n"/>
      <c r="B185" s="91" t="n"/>
      <c r="C185" s="89">
        <f>IF(OR($A185="",$B185=""),"",IFERROR(VLOOKUP($B185,Employés!$A:$B,2,0),""))</f>
        <v/>
      </c>
      <c r="D185" s="93" t="n"/>
      <c r="E185" s="93" t="n"/>
      <c r="F185" s="93" t="n"/>
      <c r="G185" s="93" t="n"/>
      <c r="H185" s="93" t="n"/>
      <c r="I185" s="105">
        <f>IF($A185="","",SUM(D185:H185))</f>
        <v/>
      </c>
    </row>
    <row r="186" ht="15" customHeight="1" s="71">
      <c r="A186" s="87" t="n"/>
      <c r="B186" s="91" t="n"/>
      <c r="C186" s="89">
        <f>IF(OR($A186="",$B186=""),"",IFERROR(VLOOKUP($B186,Employés!$A:$B,2,0),""))</f>
        <v/>
      </c>
      <c r="D186" s="93" t="n"/>
      <c r="E186" s="93" t="n"/>
      <c r="F186" s="93" t="n"/>
      <c r="G186" s="93" t="n"/>
      <c r="H186" s="93" t="n"/>
      <c r="I186" s="105">
        <f>IF($A186="","",SUM(D186:H186))</f>
        <v/>
      </c>
    </row>
    <row r="187" ht="15" customHeight="1" s="71">
      <c r="A187" s="87" t="n"/>
      <c r="B187" s="91" t="n"/>
      <c r="C187" s="89">
        <f>IF(OR($A187="",$B187=""),"",IFERROR(VLOOKUP($B187,Employés!$A:$B,2,0),""))</f>
        <v/>
      </c>
      <c r="D187" s="93" t="n"/>
      <c r="E187" s="93" t="n"/>
      <c r="F187" s="93" t="n"/>
      <c r="G187" s="93" t="n"/>
      <c r="H187" s="93" t="n"/>
      <c r="I187" s="105">
        <f>IF($A187="","",SUM(D187:H187))</f>
        <v/>
      </c>
    </row>
    <row r="188" ht="15" customHeight="1" s="71">
      <c r="A188" s="87" t="n"/>
      <c r="B188" s="91" t="n"/>
      <c r="C188" s="89">
        <f>IF(OR($A188="",$B188=""),"",IFERROR(VLOOKUP($B188,Employés!$A:$B,2,0),""))</f>
        <v/>
      </c>
      <c r="D188" s="93" t="n"/>
      <c r="E188" s="93" t="n"/>
      <c r="F188" s="93" t="n"/>
      <c r="G188" s="93" t="n"/>
      <c r="H188" s="93" t="n"/>
      <c r="I188" s="105">
        <f>IF($A188="","",SUM(D188:H188))</f>
        <v/>
      </c>
    </row>
    <row r="189" ht="15" customHeight="1" s="71">
      <c r="A189" s="87" t="n"/>
      <c r="B189" s="91" t="n"/>
      <c r="C189" s="89">
        <f>IF(OR($A189="",$B189=""),"",IFERROR(VLOOKUP($B189,Employés!$A:$B,2,0),""))</f>
        <v/>
      </c>
      <c r="D189" s="93" t="n"/>
      <c r="E189" s="93" t="n"/>
      <c r="F189" s="93" t="n"/>
      <c r="G189" s="93" t="n"/>
      <c r="H189" s="93" t="n"/>
      <c r="I189" s="105">
        <f>IF($A189="","",SUM(D189:H189))</f>
        <v/>
      </c>
    </row>
    <row r="190" ht="15" customHeight="1" s="71">
      <c r="A190" s="87" t="n"/>
      <c r="B190" s="91" t="n"/>
      <c r="C190" s="89">
        <f>IF(OR($A190="",$B190=""),"",IFERROR(VLOOKUP($B190,Employés!$A:$B,2,0),""))</f>
        <v/>
      </c>
      <c r="D190" s="93" t="n"/>
      <c r="E190" s="93" t="n"/>
      <c r="F190" s="93" t="n"/>
      <c r="G190" s="93" t="n"/>
      <c r="H190" s="93" t="n"/>
      <c r="I190" s="105">
        <f>IF($A190="","",SUM(D190:H190))</f>
        <v/>
      </c>
    </row>
    <row r="191" ht="15" customHeight="1" s="71">
      <c r="A191" s="87" t="n"/>
      <c r="B191" s="91" t="n"/>
      <c r="C191" s="89">
        <f>IF(OR($A191="",$B191=""),"",IFERROR(VLOOKUP($B191,Employés!$A:$B,2,0),""))</f>
        <v/>
      </c>
      <c r="D191" s="93" t="n"/>
      <c r="E191" s="93" t="n"/>
      <c r="F191" s="93" t="n"/>
      <c r="G191" s="93" t="n"/>
      <c r="H191" s="93" t="n"/>
      <c r="I191" s="105">
        <f>IF($A191="","",SUM(D191:H191))</f>
        <v/>
      </c>
    </row>
    <row r="192" ht="15" customHeight="1" s="71">
      <c r="A192" s="87" t="n"/>
      <c r="B192" s="91" t="n"/>
      <c r="C192" s="89">
        <f>IF(OR($A192="",$B192=""),"",IFERROR(VLOOKUP($B192,Employés!$A:$B,2,0),""))</f>
        <v/>
      </c>
      <c r="D192" s="93" t="n"/>
      <c r="E192" s="93" t="n"/>
      <c r="F192" s="93" t="n"/>
      <c r="G192" s="93" t="n"/>
      <c r="H192" s="93" t="n"/>
      <c r="I192" s="105">
        <f>IF($A192="","",SUM(D192:H192))</f>
        <v/>
      </c>
    </row>
    <row r="193" ht="15" customHeight="1" s="71">
      <c r="A193" s="87" t="n"/>
      <c r="B193" s="91" t="n"/>
      <c r="C193" s="89">
        <f>IF(OR($A193="",$B193=""),"",IFERROR(VLOOKUP($B193,Employés!$A:$B,2,0),""))</f>
        <v/>
      </c>
      <c r="D193" s="93" t="n"/>
      <c r="E193" s="93" t="n"/>
      <c r="F193" s="93" t="n"/>
      <c r="G193" s="93" t="n"/>
      <c r="H193" s="93" t="n"/>
      <c r="I193" s="105">
        <f>IF($A193="","",SUM(D193:H193))</f>
        <v/>
      </c>
    </row>
    <row r="194" ht="15" customHeight="1" s="71">
      <c r="A194" s="87" t="n"/>
      <c r="B194" s="91" t="n"/>
      <c r="C194" s="89">
        <f>IF(OR($A194="",$B194=""),"",IFERROR(VLOOKUP($B194,Employés!$A:$B,2,0),""))</f>
        <v/>
      </c>
      <c r="D194" s="93" t="n"/>
      <c r="E194" s="93" t="n"/>
      <c r="F194" s="93" t="n"/>
      <c r="G194" s="93" t="n"/>
      <c r="H194" s="93" t="n"/>
      <c r="I194" s="105">
        <f>IF($A194="","",SUM(D194:H194))</f>
        <v/>
      </c>
    </row>
    <row r="195" ht="15" customHeight="1" s="71">
      <c r="A195" s="87" t="n"/>
      <c r="B195" s="91" t="n"/>
      <c r="C195" s="89">
        <f>IF(OR($A195="",$B195=""),"",IFERROR(VLOOKUP($B195,Employés!$A:$B,2,0),""))</f>
        <v/>
      </c>
      <c r="D195" s="93" t="n"/>
      <c r="E195" s="93" t="n"/>
      <c r="F195" s="93" t="n"/>
      <c r="G195" s="93" t="n"/>
      <c r="H195" s="93" t="n"/>
      <c r="I195" s="105">
        <f>IF($A195="","",SUM(D195:H195))</f>
        <v/>
      </c>
    </row>
    <row r="196" ht="15" customHeight="1" s="71">
      <c r="A196" s="87" t="n"/>
      <c r="B196" s="91" t="n"/>
      <c r="C196" s="89">
        <f>IF(OR($A196="",$B196=""),"",IFERROR(VLOOKUP($B196,Employés!$A:$B,2,0),""))</f>
        <v/>
      </c>
      <c r="D196" s="93" t="n"/>
      <c r="E196" s="93" t="n"/>
      <c r="F196" s="93" t="n"/>
      <c r="G196" s="93" t="n"/>
      <c r="H196" s="93" t="n"/>
      <c r="I196" s="105">
        <f>IF($A196="","",SUM(D196:H196))</f>
        <v/>
      </c>
    </row>
    <row r="197" ht="15" customHeight="1" s="71">
      <c r="A197" s="87" t="n"/>
      <c r="B197" s="91" t="n"/>
      <c r="C197" s="89">
        <f>IF(OR($A197="",$B197=""),"",IFERROR(VLOOKUP($B197,Employés!$A:$B,2,0),""))</f>
        <v/>
      </c>
      <c r="D197" s="93" t="n"/>
      <c r="E197" s="93" t="n"/>
      <c r="F197" s="93" t="n"/>
      <c r="G197" s="93" t="n"/>
      <c r="H197" s="93" t="n"/>
      <c r="I197" s="105">
        <f>IF($A197="","",SUM(D197:H197))</f>
        <v/>
      </c>
    </row>
    <row r="198" ht="15" customHeight="1" s="71">
      <c r="A198" s="87" t="n"/>
      <c r="B198" s="91" t="n"/>
      <c r="C198" s="89">
        <f>IF(OR($A198="",$B198=""),"",IFERROR(VLOOKUP($B198,Employés!$A:$B,2,0),""))</f>
        <v/>
      </c>
      <c r="D198" s="93" t="n"/>
      <c r="E198" s="93" t="n"/>
      <c r="F198" s="93" t="n"/>
      <c r="G198" s="93" t="n"/>
      <c r="H198" s="93" t="n"/>
      <c r="I198" s="105">
        <f>IF($A198="","",SUM(D198:H198))</f>
        <v/>
      </c>
    </row>
    <row r="199" ht="15" customHeight="1" s="71">
      <c r="A199" s="87" t="n"/>
      <c r="B199" s="91" t="n"/>
      <c r="C199" s="89">
        <f>IF(OR($A199="",$B199=""),"",IFERROR(VLOOKUP($B199,Employés!$A:$B,2,0),""))</f>
        <v/>
      </c>
      <c r="D199" s="93" t="n"/>
      <c r="E199" s="93" t="n"/>
      <c r="F199" s="93" t="n"/>
      <c r="G199" s="93" t="n"/>
      <c r="H199" s="93" t="n"/>
      <c r="I199" s="105">
        <f>IF($A199="","",SUM(D199:H199))</f>
        <v/>
      </c>
    </row>
    <row r="200" ht="15" customHeight="1" s="71">
      <c r="A200" s="87" t="n"/>
      <c r="B200" s="91" t="n"/>
      <c r="C200" s="89">
        <f>IF(OR($A200="",$B200=""),"",IFERROR(VLOOKUP($B200,Employés!$A:$B,2,0),""))</f>
        <v/>
      </c>
      <c r="D200" s="93" t="n"/>
      <c r="E200" s="93" t="n"/>
      <c r="F200" s="93" t="n"/>
      <c r="G200" s="93" t="n"/>
      <c r="H200" s="93" t="n"/>
      <c r="I200" s="105">
        <f>IF($A200="","",SUM(D200:H200))</f>
        <v/>
      </c>
    </row>
    <row r="201" ht="15" customHeight="1" s="71">
      <c r="A201" s="87" t="n"/>
      <c r="B201" s="91" t="n"/>
      <c r="C201" s="89">
        <f>IF(OR($A201="",$B201=""),"",IFERROR(VLOOKUP($B201,Employés!$A:$B,2,0),""))</f>
        <v/>
      </c>
      <c r="D201" s="93" t="n"/>
      <c r="E201" s="93" t="n"/>
      <c r="F201" s="93" t="n"/>
      <c r="G201" s="93" t="n"/>
      <c r="H201" s="93" t="n"/>
      <c r="I201" s="105">
        <f>IF($A201="","",SUM(D201:H201))</f>
        <v/>
      </c>
    </row>
    <row r="202" ht="15" customHeight="1" s="71">
      <c r="A202" s="87" t="n"/>
      <c r="B202" s="91" t="n"/>
      <c r="C202" s="89">
        <f>IF(OR($A202="",$B202=""),"",IFERROR(VLOOKUP($B202,Employés!$A:$B,2,0),""))</f>
        <v/>
      </c>
      <c r="D202" s="93" t="n"/>
      <c r="E202" s="93" t="n"/>
      <c r="F202" s="93" t="n"/>
      <c r="G202" s="93" t="n"/>
      <c r="H202" s="93" t="n"/>
      <c r="I202" s="105">
        <f>IF($A202="","",SUM(D202:H202))</f>
        <v/>
      </c>
    </row>
    <row r="203" ht="15" customHeight="1" s="71">
      <c r="A203" s="87" t="n"/>
      <c r="B203" s="91" t="n"/>
      <c r="C203" s="89">
        <f>IF(OR($A203="",$B203=""),"",IFERROR(VLOOKUP($B203,Employés!$A:$B,2,0),""))</f>
        <v/>
      </c>
      <c r="D203" s="93" t="n"/>
      <c r="E203" s="93" t="n"/>
      <c r="F203" s="93" t="n"/>
      <c r="G203" s="93" t="n"/>
      <c r="H203" s="93" t="n"/>
      <c r="I203" s="105">
        <f>IF($A203="","",SUM(D203:H203))</f>
        <v/>
      </c>
    </row>
    <row r="204" ht="15" customHeight="1" s="71">
      <c r="A204" s="87" t="n"/>
      <c r="B204" s="91" t="n"/>
      <c r="C204" s="89">
        <f>IF(OR($A204="",$B204=""),"",IFERROR(VLOOKUP($B204,Employés!$A:$B,2,0),""))</f>
        <v/>
      </c>
      <c r="D204" s="93" t="n"/>
      <c r="E204" s="93" t="n"/>
      <c r="F204" s="93" t="n"/>
      <c r="G204" s="93" t="n"/>
      <c r="H204" s="93" t="n"/>
      <c r="I204" s="105">
        <f>IF($A204="","",SUM(D204:H204))</f>
        <v/>
      </c>
    </row>
    <row r="205" ht="15" customHeight="1" s="71">
      <c r="A205" s="87" t="n"/>
      <c r="B205" s="91" t="n"/>
      <c r="C205" s="89">
        <f>IF(OR($A205="",$B205=""),"",IFERROR(VLOOKUP($B205,Employés!$A:$B,2,0),""))</f>
        <v/>
      </c>
      <c r="D205" s="93" t="n"/>
      <c r="E205" s="93" t="n"/>
      <c r="F205" s="93" t="n"/>
      <c r="G205" s="93" t="n"/>
      <c r="H205" s="93" t="n"/>
      <c r="I205" s="105">
        <f>IF($A205="","",SUM(D205:H205))</f>
        <v/>
      </c>
    </row>
    <row r="206" ht="15" customHeight="1" s="71">
      <c r="A206" s="87" t="n"/>
      <c r="B206" s="91" t="n"/>
      <c r="C206" s="89">
        <f>IF(OR($A206="",$B206=""),"",IFERROR(VLOOKUP($B206,Employés!$A:$B,2,0),""))</f>
        <v/>
      </c>
      <c r="D206" s="93" t="n"/>
      <c r="E206" s="93" t="n"/>
      <c r="F206" s="93" t="n"/>
      <c r="G206" s="93" t="n"/>
      <c r="H206" s="93" t="n"/>
      <c r="I206" s="105">
        <f>IF($A206="","",SUM(D206:H206))</f>
        <v/>
      </c>
    </row>
    <row r="207" ht="15" customHeight="1" s="71">
      <c r="A207" s="87" t="n"/>
      <c r="B207" s="91" t="n"/>
      <c r="C207" s="89">
        <f>IF(OR($A207="",$B207=""),"",IFERROR(VLOOKUP($B207,Employés!$A:$B,2,0),""))</f>
        <v/>
      </c>
      <c r="D207" s="93" t="n"/>
      <c r="E207" s="93" t="n"/>
      <c r="F207" s="93" t="n"/>
      <c r="G207" s="93" t="n"/>
      <c r="H207" s="93" t="n"/>
      <c r="I207" s="105">
        <f>IF($A207="","",SUM(D207:H207))</f>
        <v/>
      </c>
    </row>
    <row r="208" ht="15" customHeight="1" s="71">
      <c r="A208" s="87" t="n"/>
      <c r="B208" s="91" t="n"/>
      <c r="C208" s="89">
        <f>IF(OR($A208="",$B208=""),"",IFERROR(VLOOKUP($B208,Employés!$A:$B,2,0),""))</f>
        <v/>
      </c>
      <c r="D208" s="93" t="n"/>
      <c r="E208" s="93" t="n"/>
      <c r="F208" s="93" t="n"/>
      <c r="G208" s="93" t="n"/>
      <c r="H208" s="93" t="n"/>
      <c r="I208" s="105">
        <f>IF($A208="","",SUM(D208:H208))</f>
        <v/>
      </c>
    </row>
    <row r="209" ht="15" customHeight="1" s="71">
      <c r="A209" s="87" t="n"/>
      <c r="B209" s="91" t="n"/>
      <c r="C209" s="89">
        <f>IF(OR($A209="",$B209=""),"",IFERROR(VLOOKUP($B209,Employés!$A:$B,2,0),""))</f>
        <v/>
      </c>
      <c r="D209" s="93" t="n"/>
      <c r="E209" s="93" t="n"/>
      <c r="F209" s="93" t="n"/>
      <c r="G209" s="93" t="n"/>
      <c r="H209" s="93" t="n"/>
      <c r="I209" s="105">
        <f>IF($A209="","",SUM(D209:H209))</f>
        <v/>
      </c>
    </row>
    <row r="210" ht="15" customHeight="1" s="71">
      <c r="A210" s="87" t="n"/>
      <c r="B210" s="91" t="n"/>
      <c r="C210" s="89">
        <f>IF(OR($A210="",$B210=""),"",IFERROR(VLOOKUP($B210,Employés!$A:$B,2,0),""))</f>
        <v/>
      </c>
      <c r="D210" s="93" t="n"/>
      <c r="E210" s="93" t="n"/>
      <c r="F210" s="93" t="n"/>
      <c r="G210" s="93" t="n"/>
      <c r="H210" s="93" t="n"/>
      <c r="I210" s="105">
        <f>IF($A210="","",SUM(D210:H210))</f>
        <v/>
      </c>
    </row>
    <row r="211" ht="15" customHeight="1" s="71">
      <c r="A211" s="87" t="n"/>
      <c r="B211" s="91" t="n"/>
      <c r="C211" s="89">
        <f>IF(OR($A211="",$B211=""),"",IFERROR(VLOOKUP($B211,Employés!$A:$B,2,0),""))</f>
        <v/>
      </c>
      <c r="D211" s="93" t="n"/>
      <c r="E211" s="93" t="n"/>
      <c r="F211" s="93" t="n"/>
      <c r="G211" s="93" t="n"/>
      <c r="H211" s="93" t="n"/>
      <c r="I211" s="105">
        <f>IF($A211="","",SUM(D211:H211))</f>
        <v/>
      </c>
    </row>
    <row r="212" ht="15" customHeight="1" s="71">
      <c r="A212" s="87" t="n"/>
      <c r="B212" s="91" t="n"/>
      <c r="C212" s="89">
        <f>IF(OR($A212="",$B212=""),"",IFERROR(VLOOKUP($B212,Employés!$A:$B,2,0),""))</f>
        <v/>
      </c>
      <c r="D212" s="93" t="n"/>
      <c r="E212" s="93" t="n"/>
      <c r="F212" s="93" t="n"/>
      <c r="G212" s="93" t="n"/>
      <c r="H212" s="93" t="n"/>
      <c r="I212" s="105">
        <f>IF($A212="","",SUM(D212:H212))</f>
        <v/>
      </c>
    </row>
    <row r="213" ht="15" customHeight="1" s="71">
      <c r="A213" s="87" t="n"/>
      <c r="B213" s="91" t="n"/>
      <c r="C213" s="89">
        <f>IF(OR($A213="",$B213=""),"",IFERROR(VLOOKUP($B213,Employés!$A:$B,2,0),""))</f>
        <v/>
      </c>
      <c r="D213" s="93" t="n"/>
      <c r="E213" s="93" t="n"/>
      <c r="F213" s="93" t="n"/>
      <c r="G213" s="93" t="n"/>
      <c r="H213" s="93" t="n"/>
      <c r="I213" s="105">
        <f>IF($A213="","",SUM(D213:H213))</f>
        <v/>
      </c>
    </row>
    <row r="214" ht="15" customHeight="1" s="71">
      <c r="A214" s="87" t="n"/>
      <c r="B214" s="91" t="n"/>
      <c r="C214" s="89">
        <f>IF(OR($A214="",$B214=""),"",IFERROR(VLOOKUP($B214,Employés!$A:$B,2,0),""))</f>
        <v/>
      </c>
      <c r="D214" s="93" t="n"/>
      <c r="E214" s="93" t="n"/>
      <c r="F214" s="93" t="n"/>
      <c r="G214" s="93" t="n"/>
      <c r="H214" s="93" t="n"/>
      <c r="I214" s="105">
        <f>IF($A214="","",SUM(D214:H214))</f>
        <v/>
      </c>
    </row>
    <row r="215" ht="15" customHeight="1" s="71">
      <c r="A215" s="87" t="n"/>
      <c r="B215" s="91" t="n"/>
      <c r="C215" s="89">
        <f>IF(OR($A215="",$B215=""),"",IFERROR(VLOOKUP($B215,Employés!$A:$B,2,0),""))</f>
        <v/>
      </c>
      <c r="D215" s="93" t="n"/>
      <c r="E215" s="93" t="n"/>
      <c r="F215" s="93" t="n"/>
      <c r="G215" s="93" t="n"/>
      <c r="H215" s="93" t="n"/>
      <c r="I215" s="105">
        <f>IF($A215="","",SUM(D215:H215))</f>
        <v/>
      </c>
    </row>
    <row r="216" ht="15" customHeight="1" s="71">
      <c r="A216" s="87" t="n"/>
      <c r="B216" s="91" t="n"/>
      <c r="C216" s="89">
        <f>IF(OR($A216="",$B216=""),"",IFERROR(VLOOKUP($B216,Employés!$A:$B,2,0),""))</f>
        <v/>
      </c>
      <c r="D216" s="93" t="n"/>
      <c r="E216" s="93" t="n"/>
      <c r="F216" s="93" t="n"/>
      <c r="G216" s="93" t="n"/>
      <c r="H216" s="93" t="n"/>
      <c r="I216" s="105">
        <f>IF($A216="","",SUM(D216:H216))</f>
        <v/>
      </c>
    </row>
    <row r="217" ht="15" customHeight="1" s="71">
      <c r="A217" s="87" t="n"/>
      <c r="B217" s="91" t="n"/>
      <c r="C217" s="89">
        <f>IF(OR($A217="",$B217=""),"",IFERROR(VLOOKUP($B217,Employés!$A:$B,2,0),""))</f>
        <v/>
      </c>
      <c r="D217" s="93" t="n"/>
      <c r="E217" s="93" t="n"/>
      <c r="F217" s="93" t="n"/>
      <c r="G217" s="93" t="n"/>
      <c r="H217" s="93" t="n"/>
      <c r="I217" s="105">
        <f>IF($A217="","",SUM(D217:H217))</f>
        <v/>
      </c>
    </row>
    <row r="218" ht="15" customHeight="1" s="71">
      <c r="A218" s="87" t="n"/>
      <c r="B218" s="91" t="n"/>
      <c r="C218" s="89">
        <f>IF(OR($A218="",$B218=""),"",IFERROR(VLOOKUP($B218,Employés!$A:$B,2,0),""))</f>
        <v/>
      </c>
      <c r="D218" s="93" t="n"/>
      <c r="E218" s="93" t="n"/>
      <c r="F218" s="93" t="n"/>
      <c r="G218" s="93" t="n"/>
      <c r="H218" s="93" t="n"/>
      <c r="I218" s="105">
        <f>IF($A218="","",SUM(D218:H218))</f>
        <v/>
      </c>
    </row>
    <row r="219" ht="15" customHeight="1" s="71">
      <c r="A219" s="87" t="n"/>
      <c r="B219" s="91" t="n"/>
      <c r="C219" s="89">
        <f>IF(OR($A219="",$B219=""),"",IFERROR(VLOOKUP($B219,Employés!$A:$B,2,0),""))</f>
        <v/>
      </c>
      <c r="D219" s="93" t="n"/>
      <c r="E219" s="93" t="n"/>
      <c r="F219" s="93" t="n"/>
      <c r="G219" s="93" t="n"/>
      <c r="H219" s="93" t="n"/>
      <c r="I219" s="105">
        <f>IF($A219="","",SUM(D219:H219))</f>
        <v/>
      </c>
    </row>
    <row r="220" ht="15" customHeight="1" s="71">
      <c r="A220" s="87" t="n"/>
      <c r="B220" s="91" t="n"/>
      <c r="C220" s="89">
        <f>IF(OR($A220="",$B220=""),"",IFERROR(VLOOKUP($B220,Employés!$A:$B,2,0),""))</f>
        <v/>
      </c>
      <c r="D220" s="93" t="n"/>
      <c r="E220" s="93" t="n"/>
      <c r="F220" s="93" t="n"/>
      <c r="G220" s="93" t="n"/>
      <c r="H220" s="93" t="n"/>
      <c r="I220" s="105">
        <f>IF($A220="","",SUM(D220:H220))</f>
        <v/>
      </c>
    </row>
    <row r="221" ht="15" customHeight="1" s="71">
      <c r="A221" s="87" t="n"/>
      <c r="B221" s="91" t="n"/>
      <c r="C221" s="89">
        <f>IF(OR($A221="",$B221=""),"",IFERROR(VLOOKUP($B221,Employés!$A:$B,2,0),""))</f>
        <v/>
      </c>
      <c r="D221" s="93" t="n"/>
      <c r="E221" s="93" t="n"/>
      <c r="F221" s="93" t="n"/>
      <c r="G221" s="93" t="n"/>
      <c r="H221" s="93" t="n"/>
      <c r="I221" s="105">
        <f>IF($A221="","",SUM(D221:H221))</f>
        <v/>
      </c>
    </row>
    <row r="222" ht="15" customHeight="1" s="71">
      <c r="A222" s="87" t="n"/>
      <c r="B222" s="91" t="n"/>
      <c r="C222" s="89">
        <f>IF(OR($A222="",$B222=""),"",IFERROR(VLOOKUP($B222,Employés!$A:$B,2,0),""))</f>
        <v/>
      </c>
      <c r="D222" s="93" t="n"/>
      <c r="E222" s="93" t="n"/>
      <c r="F222" s="93" t="n"/>
      <c r="G222" s="93" t="n"/>
      <c r="H222" s="93" t="n"/>
      <c r="I222" s="105">
        <f>IF($A222="","",SUM(D222:H222))</f>
        <v/>
      </c>
    </row>
    <row r="223" ht="15" customHeight="1" s="71">
      <c r="A223" s="87" t="n"/>
      <c r="B223" s="91" t="n"/>
      <c r="C223" s="89">
        <f>IF(OR($A223="",$B223=""),"",IFERROR(VLOOKUP($B223,Employés!$A:$B,2,0),""))</f>
        <v/>
      </c>
      <c r="D223" s="93" t="n"/>
      <c r="E223" s="93" t="n"/>
      <c r="F223" s="93" t="n"/>
      <c r="G223" s="93" t="n"/>
      <c r="H223" s="93" t="n"/>
      <c r="I223" s="105">
        <f>IF($A223="","",SUM(D223:H223))</f>
        <v/>
      </c>
    </row>
    <row r="224" ht="15" customHeight="1" s="71">
      <c r="A224" s="87" t="n"/>
      <c r="B224" s="91" t="n"/>
      <c r="C224" s="89">
        <f>IF(OR($A224="",$B224=""),"",IFERROR(VLOOKUP($B224,Employés!$A:$B,2,0),""))</f>
        <v/>
      </c>
      <c r="D224" s="93" t="n"/>
      <c r="E224" s="93" t="n"/>
      <c r="F224" s="93" t="n"/>
      <c r="G224" s="93" t="n"/>
      <c r="H224" s="93" t="n"/>
      <c r="I224" s="105">
        <f>IF($A224="","",SUM(D224:H224))</f>
        <v/>
      </c>
    </row>
    <row r="225" ht="15" customHeight="1" s="71">
      <c r="A225" s="87" t="n"/>
      <c r="B225" s="91" t="n"/>
      <c r="C225" s="89">
        <f>IF(OR($A225="",$B225=""),"",IFERROR(VLOOKUP($B225,Employés!$A:$B,2,0),""))</f>
        <v/>
      </c>
      <c r="D225" s="93" t="n"/>
      <c r="E225" s="93" t="n"/>
      <c r="F225" s="93" t="n"/>
      <c r="G225" s="93" t="n"/>
      <c r="H225" s="93" t="n"/>
      <c r="I225" s="105">
        <f>IF($A225="","",SUM(D225:H225))</f>
        <v/>
      </c>
    </row>
    <row r="226" ht="15" customHeight="1" s="71">
      <c r="A226" s="87" t="n"/>
      <c r="B226" s="91" t="n"/>
      <c r="C226" s="89">
        <f>IF(OR($A226="",$B226=""),"",IFERROR(VLOOKUP($B226,Employés!$A:$B,2,0),""))</f>
        <v/>
      </c>
      <c r="D226" s="93" t="n"/>
      <c r="E226" s="93" t="n"/>
      <c r="F226" s="93" t="n"/>
      <c r="G226" s="93" t="n"/>
      <c r="H226" s="93" t="n"/>
      <c r="I226" s="105">
        <f>IF($A226="","",SUM(D226:H226))</f>
        <v/>
      </c>
    </row>
    <row r="227" ht="15" customHeight="1" s="71">
      <c r="A227" s="87" t="n"/>
      <c r="B227" s="91" t="n"/>
      <c r="C227" s="89">
        <f>IF(OR($A227="",$B227=""),"",IFERROR(VLOOKUP($B227,Employés!$A:$B,2,0),""))</f>
        <v/>
      </c>
      <c r="D227" s="93" t="n"/>
      <c r="E227" s="93" t="n"/>
      <c r="F227" s="93" t="n"/>
      <c r="G227" s="93" t="n"/>
      <c r="H227" s="93" t="n"/>
      <c r="I227" s="105">
        <f>IF($A227="","",SUM(D227:H227))</f>
        <v/>
      </c>
    </row>
    <row r="228" ht="15" customHeight="1" s="71">
      <c r="A228" s="87" t="n"/>
      <c r="B228" s="91" t="n"/>
      <c r="C228" s="89">
        <f>IF(OR($A228="",$B228=""),"",IFERROR(VLOOKUP($B228,Employés!$A:$B,2,0),""))</f>
        <v/>
      </c>
      <c r="D228" s="93" t="n"/>
      <c r="E228" s="93" t="n"/>
      <c r="F228" s="93" t="n"/>
      <c r="G228" s="93" t="n"/>
      <c r="H228" s="93" t="n"/>
      <c r="I228" s="105">
        <f>IF($A228="","",SUM(D228:H228))</f>
        <v/>
      </c>
    </row>
    <row r="229" ht="15" customHeight="1" s="71">
      <c r="A229" s="87" t="n"/>
      <c r="B229" s="91" t="n"/>
      <c r="C229" s="89">
        <f>IF(OR($A229="",$B229=""),"",IFERROR(VLOOKUP($B229,Employés!$A:$B,2,0),""))</f>
        <v/>
      </c>
      <c r="D229" s="93" t="n"/>
      <c r="E229" s="93" t="n"/>
      <c r="F229" s="93" t="n"/>
      <c r="G229" s="93" t="n"/>
      <c r="H229" s="93" t="n"/>
      <c r="I229" s="105">
        <f>IF($A229="","",SUM(D229:H229))</f>
        <v/>
      </c>
    </row>
    <row r="230" ht="15" customHeight="1" s="71">
      <c r="A230" s="87" t="n"/>
      <c r="B230" s="91" t="n"/>
      <c r="C230" s="89">
        <f>IF(OR($A230="",$B230=""),"",IFERROR(VLOOKUP($B230,Employés!$A:$B,2,0),""))</f>
        <v/>
      </c>
      <c r="D230" s="93" t="n"/>
      <c r="E230" s="93" t="n"/>
      <c r="F230" s="93" t="n"/>
      <c r="G230" s="93" t="n"/>
      <c r="H230" s="93" t="n"/>
      <c r="I230" s="105">
        <f>IF($A230="","",SUM(D230:H230))</f>
        <v/>
      </c>
    </row>
    <row r="231" ht="15" customHeight="1" s="71">
      <c r="A231" s="87" t="n"/>
      <c r="B231" s="91" t="n"/>
      <c r="C231" s="89">
        <f>IF(OR($A231="",$B231=""),"",IFERROR(VLOOKUP($B231,Employés!$A:$B,2,0),""))</f>
        <v/>
      </c>
      <c r="D231" s="93" t="n"/>
      <c r="E231" s="93" t="n"/>
      <c r="F231" s="93" t="n"/>
      <c r="G231" s="93" t="n"/>
      <c r="H231" s="93" t="n"/>
      <c r="I231" s="105">
        <f>IF($A231="","",SUM(D231:H231))</f>
        <v/>
      </c>
    </row>
    <row r="232" ht="15" customHeight="1" s="71">
      <c r="A232" s="87" t="n"/>
      <c r="B232" s="91" t="n"/>
      <c r="C232" s="89">
        <f>IF(OR($A232="",$B232=""),"",IFERROR(VLOOKUP($B232,Employés!$A:$B,2,0),""))</f>
        <v/>
      </c>
      <c r="D232" s="93" t="n"/>
      <c r="E232" s="93" t="n"/>
      <c r="F232" s="93" t="n"/>
      <c r="G232" s="93" t="n"/>
      <c r="H232" s="93" t="n"/>
      <c r="I232" s="105">
        <f>IF($A232="","",SUM(D232:H232))</f>
        <v/>
      </c>
    </row>
    <row r="233" ht="15" customHeight="1" s="71">
      <c r="A233" s="87" t="n"/>
      <c r="B233" s="91" t="n"/>
      <c r="C233" s="89">
        <f>IF(OR($A233="",$B233=""),"",IFERROR(VLOOKUP($B233,Employés!$A:$B,2,0),""))</f>
        <v/>
      </c>
      <c r="D233" s="93" t="n"/>
      <c r="E233" s="93" t="n"/>
      <c r="F233" s="93" t="n"/>
      <c r="G233" s="93" t="n"/>
      <c r="H233" s="93" t="n"/>
      <c r="I233" s="105">
        <f>IF($A233="","",SUM(D233:H233))</f>
        <v/>
      </c>
    </row>
    <row r="234" ht="15" customHeight="1" s="71">
      <c r="A234" s="87" t="n"/>
      <c r="B234" s="91" t="n"/>
      <c r="C234" s="89">
        <f>IF(OR($A234="",$B234=""),"",IFERROR(VLOOKUP($B234,Employés!$A:$B,2,0),""))</f>
        <v/>
      </c>
      <c r="D234" s="93" t="n"/>
      <c r="E234" s="93" t="n"/>
      <c r="F234" s="93" t="n"/>
      <c r="G234" s="93" t="n"/>
      <c r="H234" s="93" t="n"/>
      <c r="I234" s="105">
        <f>IF($A234="","",SUM(D234:H234))</f>
        <v/>
      </c>
    </row>
    <row r="235" ht="15" customHeight="1" s="71">
      <c r="A235" s="87" t="n"/>
      <c r="B235" s="91" t="n"/>
      <c r="C235" s="89">
        <f>IF(OR($A235="",$B235=""),"",IFERROR(VLOOKUP($B235,Employés!$A:$B,2,0),""))</f>
        <v/>
      </c>
      <c r="D235" s="93" t="n"/>
      <c r="E235" s="93" t="n"/>
      <c r="F235" s="93" t="n"/>
      <c r="G235" s="93" t="n"/>
      <c r="H235" s="93" t="n"/>
      <c r="I235" s="105">
        <f>IF($A235="","",SUM(D235:H235))</f>
        <v/>
      </c>
    </row>
    <row r="236" ht="15" customHeight="1" s="71">
      <c r="A236" s="87" t="n"/>
      <c r="B236" s="91" t="n"/>
      <c r="C236" s="89">
        <f>IF(OR($A236="",$B236=""),"",IFERROR(VLOOKUP($B236,Employés!$A:$B,2,0),""))</f>
        <v/>
      </c>
      <c r="D236" s="93" t="n"/>
      <c r="E236" s="93" t="n"/>
      <c r="F236" s="93" t="n"/>
      <c r="G236" s="93" t="n"/>
      <c r="H236" s="93" t="n"/>
      <c r="I236" s="105">
        <f>IF($A236="","",SUM(D236:H236))</f>
        <v/>
      </c>
    </row>
    <row r="237" ht="15" customHeight="1" s="71">
      <c r="A237" s="87" t="n"/>
      <c r="B237" s="91" t="n"/>
      <c r="C237" s="89">
        <f>IF(OR($A237="",$B237=""),"",IFERROR(VLOOKUP($B237,Employés!$A:$B,2,0),""))</f>
        <v/>
      </c>
      <c r="D237" s="93" t="n"/>
      <c r="E237" s="93" t="n"/>
      <c r="F237" s="93" t="n"/>
      <c r="G237" s="93" t="n"/>
      <c r="H237" s="93" t="n"/>
      <c r="I237" s="105">
        <f>IF($A237="","",SUM(D237:H237))</f>
        <v/>
      </c>
    </row>
    <row r="238" ht="15" customHeight="1" s="71">
      <c r="A238" s="87" t="n"/>
      <c r="B238" s="91" t="n"/>
      <c r="C238" s="89">
        <f>IF(OR($A238="",$B238=""),"",IFERROR(VLOOKUP($B238,Employés!$A:$B,2,0),""))</f>
        <v/>
      </c>
      <c r="D238" s="93" t="n"/>
      <c r="E238" s="93" t="n"/>
      <c r="F238" s="93" t="n"/>
      <c r="G238" s="93" t="n"/>
      <c r="H238" s="93" t="n"/>
      <c r="I238" s="105">
        <f>IF($A238="","",SUM(D238:H238))</f>
        <v/>
      </c>
    </row>
    <row r="239" ht="15" customHeight="1" s="71">
      <c r="A239" s="87" t="n"/>
      <c r="B239" s="91" t="n"/>
      <c r="C239" s="89">
        <f>IF(OR($A239="",$B239=""),"",IFERROR(VLOOKUP($B239,Employés!$A:$B,2,0),""))</f>
        <v/>
      </c>
      <c r="D239" s="93" t="n"/>
      <c r="E239" s="93" t="n"/>
      <c r="F239" s="93" t="n"/>
      <c r="G239" s="93" t="n"/>
      <c r="H239" s="93" t="n"/>
      <c r="I239" s="105">
        <f>IF($A239="","",SUM(D239:H239))</f>
        <v/>
      </c>
    </row>
    <row r="240" ht="15" customHeight="1" s="71">
      <c r="A240" s="87" t="n"/>
      <c r="B240" s="91" t="n"/>
      <c r="C240" s="89">
        <f>IF(OR($A240="",$B240=""),"",IFERROR(VLOOKUP($B240,Employés!$A:$B,2,0),""))</f>
        <v/>
      </c>
      <c r="D240" s="93" t="n"/>
      <c r="E240" s="93" t="n"/>
      <c r="F240" s="93" t="n"/>
      <c r="G240" s="93" t="n"/>
      <c r="H240" s="93" t="n"/>
      <c r="I240" s="105">
        <f>IF($A240="","",SUM(D240:H240))</f>
        <v/>
      </c>
    </row>
    <row r="241" ht="15" customHeight="1" s="71">
      <c r="A241" s="87" t="n"/>
      <c r="B241" s="91" t="n"/>
      <c r="C241" s="89">
        <f>IF(OR($A241="",$B241=""),"",IFERROR(VLOOKUP($B241,Employés!$A:$B,2,0),""))</f>
        <v/>
      </c>
      <c r="D241" s="93" t="n"/>
      <c r="E241" s="93" t="n"/>
      <c r="F241" s="93" t="n"/>
      <c r="G241" s="93" t="n"/>
      <c r="H241" s="93" t="n"/>
      <c r="I241" s="105">
        <f>IF($A241="","",SUM(D241:H241))</f>
        <v/>
      </c>
    </row>
    <row r="242" ht="15" customHeight="1" s="71">
      <c r="A242" s="87" t="n"/>
      <c r="B242" s="91" t="n"/>
      <c r="C242" s="89">
        <f>IF(OR($A242="",$B242=""),"",IFERROR(VLOOKUP($B242,Employés!$A:$B,2,0),""))</f>
        <v/>
      </c>
      <c r="D242" s="93" t="n"/>
      <c r="E242" s="93" t="n"/>
      <c r="F242" s="93" t="n"/>
      <c r="G242" s="93" t="n"/>
      <c r="H242" s="93" t="n"/>
      <c r="I242" s="105">
        <f>IF($A242="","",SUM(D242:H242))</f>
        <v/>
      </c>
    </row>
    <row r="243" ht="15" customHeight="1" s="71">
      <c r="A243" s="87" t="n"/>
      <c r="B243" s="91" t="n"/>
      <c r="C243" s="89">
        <f>IF(OR($A243="",$B243=""),"",IFERROR(VLOOKUP($B243,Employés!$A:$B,2,0),""))</f>
        <v/>
      </c>
      <c r="D243" s="93" t="n"/>
      <c r="E243" s="93" t="n"/>
      <c r="F243" s="93" t="n"/>
      <c r="G243" s="93" t="n"/>
      <c r="H243" s="93" t="n"/>
      <c r="I243" s="105">
        <f>IF($A243="","",SUM(D243:H243))</f>
        <v/>
      </c>
    </row>
    <row r="244" ht="15" customHeight="1" s="71">
      <c r="A244" s="87" t="n"/>
      <c r="B244" s="91" t="n"/>
      <c r="C244" s="89">
        <f>IF(OR($A244="",$B244=""),"",IFERROR(VLOOKUP($B244,Employés!$A:$B,2,0),""))</f>
        <v/>
      </c>
      <c r="D244" s="93" t="n"/>
      <c r="E244" s="93" t="n"/>
      <c r="F244" s="93" t="n"/>
      <c r="G244" s="93" t="n"/>
      <c r="H244" s="93" t="n"/>
      <c r="I244" s="105">
        <f>IF($A244="","",SUM(D244:H244))</f>
        <v/>
      </c>
    </row>
    <row r="245" ht="15" customHeight="1" s="71">
      <c r="A245" s="87" t="n"/>
      <c r="B245" s="91" t="n"/>
      <c r="C245" s="89">
        <f>IF(OR($A245="",$B245=""),"",IFERROR(VLOOKUP($B245,Employés!$A:$B,2,0),""))</f>
        <v/>
      </c>
      <c r="D245" s="93" t="n"/>
      <c r="E245" s="93" t="n"/>
      <c r="F245" s="93" t="n"/>
      <c r="G245" s="93" t="n"/>
      <c r="H245" s="93" t="n"/>
      <c r="I245" s="105">
        <f>IF($A245="","",SUM(D245:H245))</f>
        <v/>
      </c>
    </row>
    <row r="246" ht="15" customHeight="1" s="71">
      <c r="A246" s="87" t="n"/>
      <c r="B246" s="91" t="n"/>
      <c r="C246" s="89">
        <f>IF(OR($A246="",$B246=""),"",IFERROR(VLOOKUP($B246,Employés!$A:$B,2,0),""))</f>
        <v/>
      </c>
      <c r="D246" s="93" t="n"/>
      <c r="E246" s="93" t="n"/>
      <c r="F246" s="93" t="n"/>
      <c r="G246" s="93" t="n"/>
      <c r="H246" s="93" t="n"/>
      <c r="I246" s="105">
        <f>IF($A246="","",SUM(D246:H246))</f>
        <v/>
      </c>
    </row>
    <row r="247" ht="15" customHeight="1" s="71">
      <c r="A247" s="87" t="n"/>
      <c r="B247" s="91" t="n"/>
      <c r="C247" s="89">
        <f>IF(OR($A247="",$B247=""),"",IFERROR(VLOOKUP($B247,Employés!$A:$B,2,0),""))</f>
        <v/>
      </c>
      <c r="D247" s="93" t="n"/>
      <c r="E247" s="93" t="n"/>
      <c r="F247" s="93" t="n"/>
      <c r="G247" s="93" t="n"/>
      <c r="H247" s="93" t="n"/>
      <c r="I247" s="105">
        <f>IF($A247="","",SUM(D247:H247))</f>
        <v/>
      </c>
    </row>
    <row r="248" ht="15" customHeight="1" s="71">
      <c r="A248" s="87" t="n"/>
      <c r="B248" s="91" t="n"/>
      <c r="C248" s="89">
        <f>IF(OR($A248="",$B248=""),"",IFERROR(VLOOKUP($B248,Employés!$A:$B,2,0),""))</f>
        <v/>
      </c>
      <c r="D248" s="93" t="n"/>
      <c r="E248" s="93" t="n"/>
      <c r="F248" s="93" t="n"/>
      <c r="G248" s="93" t="n"/>
      <c r="H248" s="93" t="n"/>
      <c r="I248" s="105">
        <f>IF($A248="","",SUM(D248:H248))</f>
        <v/>
      </c>
    </row>
    <row r="249" ht="15" customHeight="1" s="71">
      <c r="A249" s="87" t="n"/>
      <c r="B249" s="91" t="n"/>
      <c r="C249" s="89">
        <f>IF(OR($A249="",$B249=""),"",IFERROR(VLOOKUP($B249,Employés!$A:$B,2,0),""))</f>
        <v/>
      </c>
      <c r="D249" s="93" t="n"/>
      <c r="E249" s="93" t="n"/>
      <c r="F249" s="93" t="n"/>
      <c r="G249" s="93" t="n"/>
      <c r="H249" s="93" t="n"/>
      <c r="I249" s="105">
        <f>IF($A249="","",SUM(D249:H249))</f>
        <v/>
      </c>
    </row>
    <row r="250" ht="15" customHeight="1" s="71">
      <c r="A250" s="87" t="n"/>
      <c r="B250" s="91" t="n"/>
      <c r="C250" s="89">
        <f>IF(OR($A250="",$B250=""),"",IFERROR(VLOOKUP($B250,Employés!$A:$B,2,0),""))</f>
        <v/>
      </c>
      <c r="D250" s="93" t="n"/>
      <c r="E250" s="93" t="n"/>
      <c r="F250" s="93" t="n"/>
      <c r="G250" s="93" t="n"/>
      <c r="H250" s="93" t="n"/>
      <c r="I250" s="105">
        <f>IF($A250="","",SUM(D250:H250))</f>
        <v/>
      </c>
    </row>
    <row r="251" ht="15" customHeight="1" s="71">
      <c r="A251" s="87" t="n"/>
      <c r="B251" s="91" t="n"/>
      <c r="C251" s="89">
        <f>IF(OR($A251="",$B251=""),"",IFERROR(VLOOKUP($B251,Employés!$A:$B,2,0),""))</f>
        <v/>
      </c>
      <c r="D251" s="93" t="n"/>
      <c r="E251" s="93" t="n"/>
      <c r="F251" s="93" t="n"/>
      <c r="G251" s="93" t="n"/>
      <c r="H251" s="93" t="n"/>
      <c r="I251" s="105">
        <f>IF($A251="","",SUM(D251:H251))</f>
        <v/>
      </c>
    </row>
    <row r="252" ht="15" customHeight="1" s="71">
      <c r="A252" s="87" t="n"/>
      <c r="B252" s="91" t="n"/>
      <c r="C252" s="89">
        <f>IF(OR($A252="",$B252=""),"",IFERROR(VLOOKUP($B252,Employés!$A:$B,2,0),""))</f>
        <v/>
      </c>
      <c r="D252" s="93" t="n"/>
      <c r="E252" s="93" t="n"/>
      <c r="F252" s="93" t="n"/>
      <c r="G252" s="93" t="n"/>
      <c r="H252" s="93" t="n"/>
      <c r="I252" s="105">
        <f>IF($A252="","",SUM(D252:H252))</f>
        <v/>
      </c>
    </row>
    <row r="253" ht="15" customHeight="1" s="71">
      <c r="A253" s="87" t="n"/>
      <c r="B253" s="91" t="n"/>
      <c r="C253" s="89">
        <f>IF(OR($A253="",$B253=""),"",IFERROR(VLOOKUP($B253,Employés!$A:$B,2,0),""))</f>
        <v/>
      </c>
      <c r="D253" s="93" t="n"/>
      <c r="E253" s="93" t="n"/>
      <c r="F253" s="93" t="n"/>
      <c r="G253" s="93" t="n"/>
      <c r="H253" s="93" t="n"/>
      <c r="I253" s="105">
        <f>IF($A253="","",SUM(D253:H253))</f>
        <v/>
      </c>
    </row>
    <row r="254" ht="15" customHeight="1" s="71">
      <c r="A254" s="87" t="n"/>
      <c r="B254" s="91" t="n"/>
      <c r="C254" s="89">
        <f>IF(OR($A254="",$B254=""),"",IFERROR(VLOOKUP($B254,Employés!$A:$B,2,0),""))</f>
        <v/>
      </c>
      <c r="D254" s="93" t="n"/>
      <c r="E254" s="93" t="n"/>
      <c r="F254" s="93" t="n"/>
      <c r="G254" s="93" t="n"/>
      <c r="H254" s="93" t="n"/>
      <c r="I254" s="105">
        <f>IF($A254="","",SUM(D254:H254))</f>
        <v/>
      </c>
    </row>
    <row r="255" ht="15" customHeight="1" s="71">
      <c r="A255" s="87" t="n"/>
      <c r="B255" s="91" t="n"/>
      <c r="C255" s="89">
        <f>IF(OR($A255="",$B255=""),"",IFERROR(VLOOKUP($B255,Employés!$A:$B,2,0),""))</f>
        <v/>
      </c>
      <c r="D255" s="93" t="n"/>
      <c r="E255" s="93" t="n"/>
      <c r="F255" s="93" t="n"/>
      <c r="G255" s="93" t="n"/>
      <c r="H255" s="93" t="n"/>
      <c r="I255" s="105">
        <f>IF($A255="","",SUM(D255:H255))</f>
        <v/>
      </c>
    </row>
    <row r="256" ht="15" customHeight="1" s="71">
      <c r="A256" s="87" t="n"/>
      <c r="B256" s="91" t="n"/>
      <c r="C256" s="89">
        <f>IF(OR($A256="",$B256=""),"",IFERROR(VLOOKUP($B256,Employés!$A:$B,2,0),""))</f>
        <v/>
      </c>
      <c r="D256" s="93" t="n"/>
      <c r="E256" s="93" t="n"/>
      <c r="F256" s="93" t="n"/>
      <c r="G256" s="93" t="n"/>
      <c r="H256" s="93" t="n"/>
      <c r="I256" s="105">
        <f>IF($A256="","",SUM(D256:H256))</f>
        <v/>
      </c>
    </row>
    <row r="257" ht="15" customHeight="1" s="71">
      <c r="A257" s="87" t="n"/>
      <c r="B257" s="91" t="n"/>
      <c r="C257" s="89">
        <f>IF(OR($A257="",$B257=""),"",IFERROR(VLOOKUP($B257,Employés!$A:$B,2,0),""))</f>
        <v/>
      </c>
      <c r="D257" s="93" t="n"/>
      <c r="E257" s="93" t="n"/>
      <c r="F257" s="93" t="n"/>
      <c r="G257" s="93" t="n"/>
      <c r="H257" s="93" t="n"/>
      <c r="I257" s="105">
        <f>IF($A257="","",SUM(D257:H257))</f>
        <v/>
      </c>
    </row>
    <row r="258" ht="15" customHeight="1" s="71">
      <c r="A258" s="87" t="n"/>
      <c r="B258" s="91" t="n"/>
      <c r="C258" s="89">
        <f>IF(OR($A258="",$B258=""),"",IFERROR(VLOOKUP($B258,Employés!$A:$B,2,0),""))</f>
        <v/>
      </c>
      <c r="D258" s="93" t="n"/>
      <c r="E258" s="93" t="n"/>
      <c r="F258" s="93" t="n"/>
      <c r="G258" s="93" t="n"/>
      <c r="H258" s="93" t="n"/>
      <c r="I258" s="105">
        <f>IF($A258="","",SUM(D258:H258))</f>
        <v/>
      </c>
    </row>
    <row r="259" ht="15" customHeight="1" s="71">
      <c r="A259" s="87" t="n"/>
      <c r="B259" s="91" t="n"/>
      <c r="C259" s="89">
        <f>IF(OR($A259="",$B259=""),"",IFERROR(VLOOKUP($B259,Employés!$A:$B,2,0),""))</f>
        <v/>
      </c>
      <c r="D259" s="93" t="n"/>
      <c r="E259" s="93" t="n"/>
      <c r="F259" s="93" t="n"/>
      <c r="G259" s="93" t="n"/>
      <c r="H259" s="93" t="n"/>
      <c r="I259" s="105">
        <f>IF($A259="","",SUM(D259:H259))</f>
        <v/>
      </c>
    </row>
    <row r="260" ht="15" customHeight="1" s="71">
      <c r="A260" s="87" t="n"/>
      <c r="B260" s="91" t="n"/>
      <c r="C260" s="89">
        <f>IF(OR($A260="",$B260=""),"",IFERROR(VLOOKUP($B260,Employés!$A:$B,2,0),""))</f>
        <v/>
      </c>
      <c r="D260" s="93" t="n"/>
      <c r="E260" s="93" t="n"/>
      <c r="F260" s="93" t="n"/>
      <c r="G260" s="93" t="n"/>
      <c r="H260" s="93" t="n"/>
      <c r="I260" s="105">
        <f>IF($A260="","",SUM(D260:H260))</f>
        <v/>
      </c>
    </row>
    <row r="261" ht="15" customHeight="1" s="71">
      <c r="A261" s="87" t="n"/>
      <c r="B261" s="91" t="n"/>
      <c r="C261" s="89">
        <f>IF(OR($A261="",$B261=""),"",IFERROR(VLOOKUP($B261,Employés!$A:$B,2,0),""))</f>
        <v/>
      </c>
      <c r="D261" s="93" t="n"/>
      <c r="E261" s="93" t="n"/>
      <c r="F261" s="93" t="n"/>
      <c r="G261" s="93" t="n"/>
      <c r="H261" s="93" t="n"/>
      <c r="I261" s="105">
        <f>IF($A261="","",SUM(D261:H261))</f>
        <v/>
      </c>
    </row>
    <row r="262" ht="15" customHeight="1" s="71">
      <c r="A262" s="87" t="n"/>
      <c r="B262" s="91" t="n"/>
      <c r="C262" s="89">
        <f>IF(OR($A262="",$B262=""),"",IFERROR(VLOOKUP($B262,Employés!$A:$B,2,0),""))</f>
        <v/>
      </c>
      <c r="D262" s="93" t="n"/>
      <c r="E262" s="93" t="n"/>
      <c r="F262" s="93" t="n"/>
      <c r="G262" s="93" t="n"/>
      <c r="H262" s="93" t="n"/>
      <c r="I262" s="105">
        <f>IF($A262="","",SUM(D262:H262))</f>
        <v/>
      </c>
    </row>
    <row r="263" ht="15" customHeight="1" s="71">
      <c r="A263" s="87" t="n"/>
      <c r="B263" s="91" t="n"/>
      <c r="C263" s="89">
        <f>IF(OR($A263="",$B263=""),"",IFERROR(VLOOKUP($B263,Employés!$A:$B,2,0),""))</f>
        <v/>
      </c>
      <c r="D263" s="93" t="n"/>
      <c r="E263" s="93" t="n"/>
      <c r="F263" s="93" t="n"/>
      <c r="G263" s="93" t="n"/>
      <c r="H263" s="93" t="n"/>
      <c r="I263" s="105">
        <f>IF($A263="","",SUM(D263:H263))</f>
        <v/>
      </c>
    </row>
    <row r="264" ht="15" customHeight="1" s="71">
      <c r="A264" s="87" t="n"/>
      <c r="B264" s="91" t="n"/>
      <c r="C264" s="89">
        <f>IF(OR($A264="",$B264=""),"",IFERROR(VLOOKUP($B264,Employés!$A:$B,2,0),""))</f>
        <v/>
      </c>
      <c r="D264" s="93" t="n"/>
      <c r="E264" s="93" t="n"/>
      <c r="F264" s="93" t="n"/>
      <c r="G264" s="93" t="n"/>
      <c r="H264" s="93" t="n"/>
      <c r="I264" s="105">
        <f>IF($A264="","",SUM(D264:H264))</f>
        <v/>
      </c>
    </row>
    <row r="265" ht="15" customHeight="1" s="71">
      <c r="A265" s="87" t="n"/>
      <c r="B265" s="91" t="n"/>
      <c r="C265" s="89">
        <f>IF(OR($A265="",$B265=""),"",IFERROR(VLOOKUP($B265,Employés!$A:$B,2,0),""))</f>
        <v/>
      </c>
      <c r="D265" s="93" t="n"/>
      <c r="E265" s="93" t="n"/>
      <c r="F265" s="93" t="n"/>
      <c r="G265" s="93" t="n"/>
      <c r="H265" s="93" t="n"/>
      <c r="I265" s="105">
        <f>IF($A265="","",SUM(D265:H265))</f>
        <v/>
      </c>
    </row>
    <row r="266" ht="15" customHeight="1" s="71">
      <c r="A266" s="87" t="n"/>
      <c r="B266" s="91" t="n"/>
      <c r="C266" s="89">
        <f>IF(OR($A266="",$B266=""),"",IFERROR(VLOOKUP($B266,Employés!$A:$B,2,0),""))</f>
        <v/>
      </c>
      <c r="D266" s="93" t="n"/>
      <c r="E266" s="93" t="n"/>
      <c r="F266" s="93" t="n"/>
      <c r="G266" s="93" t="n"/>
      <c r="H266" s="93" t="n"/>
      <c r="I266" s="105">
        <f>IF($A266="","",SUM(D266:H266))</f>
        <v/>
      </c>
    </row>
    <row r="267" ht="15" customHeight="1" s="71">
      <c r="A267" s="87" t="n"/>
      <c r="B267" s="91" t="n"/>
      <c r="C267" s="89">
        <f>IF(OR($A267="",$B267=""),"",IFERROR(VLOOKUP($B267,Employés!$A:$B,2,0),""))</f>
        <v/>
      </c>
      <c r="D267" s="93" t="n"/>
      <c r="E267" s="93" t="n"/>
      <c r="F267" s="93" t="n"/>
      <c r="G267" s="93" t="n"/>
      <c r="H267" s="93" t="n"/>
      <c r="I267" s="105">
        <f>IF($A267="","",SUM(D267:H267))</f>
        <v/>
      </c>
    </row>
    <row r="268" ht="15" customHeight="1" s="71">
      <c r="A268" s="87" t="n"/>
      <c r="B268" s="91" t="n"/>
      <c r="C268" s="89">
        <f>IF(OR($A268="",$B268=""),"",IFERROR(VLOOKUP($B268,Employés!$A:$B,2,0),""))</f>
        <v/>
      </c>
      <c r="D268" s="93" t="n"/>
      <c r="E268" s="93" t="n"/>
      <c r="F268" s="93" t="n"/>
      <c r="G268" s="93" t="n"/>
      <c r="H268" s="93" t="n"/>
      <c r="I268" s="105">
        <f>IF($A268="","",SUM(D268:H268))</f>
        <v/>
      </c>
    </row>
    <row r="269" ht="15" customHeight="1" s="71">
      <c r="A269" s="87" t="n"/>
      <c r="B269" s="91" t="n"/>
      <c r="C269" s="89">
        <f>IF(OR($A269="",$B269=""),"",IFERROR(VLOOKUP($B269,Employés!$A:$B,2,0),""))</f>
        <v/>
      </c>
      <c r="D269" s="93" t="n"/>
      <c r="E269" s="93" t="n"/>
      <c r="F269" s="93" t="n"/>
      <c r="G269" s="93" t="n"/>
      <c r="H269" s="93" t="n"/>
      <c r="I269" s="105">
        <f>IF($A269="","",SUM(D269:H269))</f>
        <v/>
      </c>
    </row>
    <row r="270" ht="15" customHeight="1" s="71">
      <c r="A270" s="87" t="n"/>
      <c r="B270" s="91" t="n"/>
      <c r="C270" s="89">
        <f>IF(OR($A270="",$B270=""),"",IFERROR(VLOOKUP($B270,Employés!$A:$B,2,0),""))</f>
        <v/>
      </c>
      <c r="D270" s="93" t="n"/>
      <c r="E270" s="93" t="n"/>
      <c r="F270" s="93" t="n"/>
      <c r="G270" s="93" t="n"/>
      <c r="H270" s="93" t="n"/>
      <c r="I270" s="105">
        <f>IF($A270="","",SUM(D270:H270))</f>
        <v/>
      </c>
    </row>
    <row r="271" ht="15" customHeight="1" s="71">
      <c r="A271" s="87" t="n"/>
      <c r="B271" s="91" t="n"/>
      <c r="C271" s="89">
        <f>IF(OR($A271="",$B271=""),"",IFERROR(VLOOKUP($B271,Employés!$A:$B,2,0),""))</f>
        <v/>
      </c>
      <c r="D271" s="93" t="n"/>
      <c r="E271" s="93" t="n"/>
      <c r="F271" s="93" t="n"/>
      <c r="G271" s="93" t="n"/>
      <c r="H271" s="93" t="n"/>
      <c r="I271" s="105">
        <f>IF($A271="","",SUM(D271:H271))</f>
        <v/>
      </c>
    </row>
    <row r="272" ht="15" customHeight="1" s="71">
      <c r="A272" s="87" t="n"/>
      <c r="B272" s="91" t="n"/>
      <c r="C272" s="89">
        <f>IF(OR($A272="",$B272=""),"",IFERROR(VLOOKUP($B272,Employés!$A:$B,2,0),""))</f>
        <v/>
      </c>
      <c r="D272" s="93" t="n"/>
      <c r="E272" s="93" t="n"/>
      <c r="F272" s="93" t="n"/>
      <c r="G272" s="93" t="n"/>
      <c r="H272" s="93" t="n"/>
      <c r="I272" s="105">
        <f>IF($A272="","",SUM(D272:H272))</f>
        <v/>
      </c>
    </row>
    <row r="273" ht="15" customHeight="1" s="71">
      <c r="A273" s="87" t="n"/>
      <c r="B273" s="91" t="n"/>
      <c r="C273" s="89">
        <f>IF(OR($A273="",$B273=""),"",IFERROR(VLOOKUP($B273,Employés!$A:$B,2,0),""))</f>
        <v/>
      </c>
      <c r="D273" s="93" t="n"/>
      <c r="E273" s="93" t="n"/>
      <c r="F273" s="93" t="n"/>
      <c r="G273" s="93" t="n"/>
      <c r="H273" s="93" t="n"/>
      <c r="I273" s="105">
        <f>IF($A273="","",SUM(D273:H273))</f>
        <v/>
      </c>
    </row>
    <row r="274" ht="15" customHeight="1" s="71">
      <c r="A274" s="87" t="n"/>
      <c r="B274" s="91" t="n"/>
      <c r="C274" s="89">
        <f>IF(OR($A274="",$B274=""),"",IFERROR(VLOOKUP($B274,Employés!$A:$B,2,0),""))</f>
        <v/>
      </c>
      <c r="D274" s="93" t="n"/>
      <c r="E274" s="93" t="n"/>
      <c r="F274" s="93" t="n"/>
      <c r="G274" s="93" t="n"/>
      <c r="H274" s="93" t="n"/>
      <c r="I274" s="105">
        <f>IF($A274="","",SUM(D274:H274))</f>
        <v/>
      </c>
    </row>
    <row r="275" ht="15" customHeight="1" s="71">
      <c r="A275" s="87" t="n"/>
      <c r="B275" s="91" t="n"/>
      <c r="C275" s="89">
        <f>IF(OR($A275="",$B275=""),"",IFERROR(VLOOKUP($B275,Employés!$A:$B,2,0),""))</f>
        <v/>
      </c>
      <c r="D275" s="93" t="n"/>
      <c r="E275" s="93" t="n"/>
      <c r="F275" s="93" t="n"/>
      <c r="G275" s="93" t="n"/>
      <c r="H275" s="93" t="n"/>
      <c r="I275" s="105">
        <f>IF($A275="","",SUM(D275:H275))</f>
        <v/>
      </c>
    </row>
    <row r="276" ht="15" customHeight="1" s="71">
      <c r="A276" s="87" t="n"/>
      <c r="B276" s="91" t="n"/>
      <c r="C276" s="89">
        <f>IF(OR($A276="",$B276=""),"",IFERROR(VLOOKUP($B276,Employés!$A:$B,2,0),""))</f>
        <v/>
      </c>
      <c r="D276" s="93" t="n"/>
      <c r="E276" s="93" t="n"/>
      <c r="F276" s="93" t="n"/>
      <c r="G276" s="93" t="n"/>
      <c r="H276" s="93" t="n"/>
      <c r="I276" s="105">
        <f>IF($A276="","",SUM(D276:H276))</f>
        <v/>
      </c>
    </row>
    <row r="277" ht="15" customHeight="1" s="71">
      <c r="A277" s="87" t="n"/>
      <c r="B277" s="91" t="n"/>
      <c r="C277" s="89">
        <f>IF(OR($A277="",$B277=""),"",IFERROR(VLOOKUP($B277,Employés!$A:$B,2,0),""))</f>
        <v/>
      </c>
      <c r="D277" s="93" t="n"/>
      <c r="E277" s="93" t="n"/>
      <c r="F277" s="93" t="n"/>
      <c r="G277" s="93" t="n"/>
      <c r="H277" s="93" t="n"/>
      <c r="I277" s="105">
        <f>IF($A277="","",SUM(D277:H277))</f>
        <v/>
      </c>
    </row>
    <row r="278" ht="15" customHeight="1" s="71">
      <c r="A278" s="87" t="n"/>
      <c r="B278" s="91" t="n"/>
      <c r="C278" s="89">
        <f>IF(OR($A278="",$B278=""),"",IFERROR(VLOOKUP($B278,Employés!$A:$B,2,0),""))</f>
        <v/>
      </c>
      <c r="D278" s="93" t="n"/>
      <c r="E278" s="93" t="n"/>
      <c r="F278" s="93" t="n"/>
      <c r="G278" s="93" t="n"/>
      <c r="H278" s="93" t="n"/>
      <c r="I278" s="105">
        <f>IF($A278="","",SUM(D278:H278))</f>
        <v/>
      </c>
    </row>
    <row r="279" ht="15" customHeight="1" s="71">
      <c r="A279" s="87" t="n"/>
      <c r="B279" s="91" t="n"/>
      <c r="C279" s="89">
        <f>IF(OR($A279="",$B279=""),"",IFERROR(VLOOKUP($B279,Employés!$A:$B,2,0),""))</f>
        <v/>
      </c>
      <c r="D279" s="93" t="n"/>
      <c r="E279" s="93" t="n"/>
      <c r="F279" s="93" t="n"/>
      <c r="G279" s="93" t="n"/>
      <c r="H279" s="93" t="n"/>
      <c r="I279" s="105">
        <f>IF($A279="","",SUM(D279:H279))</f>
        <v/>
      </c>
    </row>
    <row r="280" ht="15" customHeight="1" s="71">
      <c r="A280" s="87" t="n"/>
      <c r="B280" s="91" t="n"/>
      <c r="C280" s="89">
        <f>IF(OR($A280="",$B280=""),"",IFERROR(VLOOKUP($B280,Employés!$A:$B,2,0),""))</f>
        <v/>
      </c>
      <c r="D280" s="93" t="n"/>
      <c r="E280" s="93" t="n"/>
      <c r="F280" s="93" t="n"/>
      <c r="G280" s="93" t="n"/>
      <c r="H280" s="93" t="n"/>
      <c r="I280" s="105">
        <f>IF($A280="","",SUM(D280:H280))</f>
        <v/>
      </c>
    </row>
    <row r="281" ht="15" customHeight="1" s="71">
      <c r="A281" s="87" t="n"/>
      <c r="B281" s="91" t="n"/>
      <c r="C281" s="89">
        <f>IF(OR($A281="",$B281=""),"",IFERROR(VLOOKUP($B281,Employés!$A:$B,2,0),""))</f>
        <v/>
      </c>
      <c r="D281" s="93" t="n"/>
      <c r="E281" s="93" t="n"/>
      <c r="F281" s="93" t="n"/>
      <c r="G281" s="93" t="n"/>
      <c r="H281" s="93" t="n"/>
      <c r="I281" s="105">
        <f>IF($A281="","",SUM(D281:H281))</f>
        <v/>
      </c>
    </row>
    <row r="282" ht="15" customHeight="1" s="71">
      <c r="A282" s="87" t="n"/>
      <c r="B282" s="91" t="n"/>
      <c r="C282" s="89">
        <f>IF(OR($A282="",$B282=""),"",IFERROR(VLOOKUP($B282,Employés!$A:$B,2,0),""))</f>
        <v/>
      </c>
      <c r="D282" s="93" t="n"/>
      <c r="E282" s="93" t="n"/>
      <c r="F282" s="93" t="n"/>
      <c r="G282" s="93" t="n"/>
      <c r="H282" s="93" t="n"/>
      <c r="I282" s="105">
        <f>IF($A282="","",SUM(D282:H282))</f>
        <v/>
      </c>
    </row>
    <row r="283" ht="15" customHeight="1" s="71">
      <c r="A283" s="87" t="n"/>
      <c r="B283" s="91" t="n"/>
      <c r="C283" s="89">
        <f>IF(OR($A283="",$B283=""),"",IFERROR(VLOOKUP($B283,Employés!$A:$B,2,0),""))</f>
        <v/>
      </c>
      <c r="D283" s="93" t="n"/>
      <c r="E283" s="93" t="n"/>
      <c r="F283" s="93" t="n"/>
      <c r="G283" s="93" t="n"/>
      <c r="H283" s="93" t="n"/>
      <c r="I283" s="105">
        <f>IF($A283="","",SUM(D283:H283))</f>
        <v/>
      </c>
    </row>
    <row r="284" ht="15" customHeight="1" s="71">
      <c r="A284" s="87" t="n"/>
      <c r="B284" s="91" t="n"/>
      <c r="C284" s="89">
        <f>IF(OR($A284="",$B284=""),"",IFERROR(VLOOKUP($B284,Employés!$A:$B,2,0),""))</f>
        <v/>
      </c>
      <c r="D284" s="93" t="n"/>
      <c r="E284" s="93" t="n"/>
      <c r="F284" s="93" t="n"/>
      <c r="G284" s="93" t="n"/>
      <c r="H284" s="93" t="n"/>
      <c r="I284" s="105">
        <f>IF($A284="","",SUM(D284:H284))</f>
        <v/>
      </c>
    </row>
    <row r="285" ht="15" customHeight="1" s="71">
      <c r="A285" s="87" t="n"/>
      <c r="B285" s="91" t="n"/>
      <c r="C285" s="89">
        <f>IF(OR($A285="",$B285=""),"",IFERROR(VLOOKUP($B285,Employés!$A:$B,2,0),""))</f>
        <v/>
      </c>
      <c r="D285" s="93" t="n"/>
      <c r="E285" s="93" t="n"/>
      <c r="F285" s="93" t="n"/>
      <c r="G285" s="93" t="n"/>
      <c r="H285" s="93" t="n"/>
      <c r="I285" s="105">
        <f>IF($A285="","",SUM(D285:H285))</f>
        <v/>
      </c>
    </row>
    <row r="286" ht="15" customHeight="1" s="71">
      <c r="A286" s="87" t="n"/>
      <c r="B286" s="91" t="n"/>
      <c r="C286" s="89">
        <f>IF(OR($A286="",$B286=""),"",IFERROR(VLOOKUP($B286,Employés!$A:$B,2,0),""))</f>
        <v/>
      </c>
      <c r="D286" s="93" t="n"/>
      <c r="E286" s="93" t="n"/>
      <c r="F286" s="93" t="n"/>
      <c r="G286" s="93" t="n"/>
      <c r="H286" s="93" t="n"/>
      <c r="I286" s="105">
        <f>IF($A286="","",SUM(D286:H286))</f>
        <v/>
      </c>
    </row>
    <row r="287" ht="15" customHeight="1" s="71">
      <c r="A287" s="87" t="n"/>
      <c r="B287" s="91" t="n"/>
      <c r="C287" s="89">
        <f>IF(OR($A287="",$B287=""),"",IFERROR(VLOOKUP($B287,Employés!$A:$B,2,0),""))</f>
        <v/>
      </c>
      <c r="D287" s="93" t="n"/>
      <c r="E287" s="93" t="n"/>
      <c r="F287" s="93" t="n"/>
      <c r="G287" s="93" t="n"/>
      <c r="H287" s="93" t="n"/>
      <c r="I287" s="105">
        <f>IF($A287="","",SUM(D287:H287))</f>
        <v/>
      </c>
    </row>
    <row r="288" ht="15" customHeight="1" s="71">
      <c r="A288" s="87" t="n"/>
      <c r="B288" s="91" t="n"/>
      <c r="C288" s="89">
        <f>IF(OR($A288="",$B288=""),"",IFERROR(VLOOKUP($B288,Employés!$A:$B,2,0),""))</f>
        <v/>
      </c>
      <c r="D288" s="93" t="n"/>
      <c r="E288" s="93" t="n"/>
      <c r="F288" s="93" t="n"/>
      <c r="G288" s="93" t="n"/>
      <c r="H288" s="93" t="n"/>
      <c r="I288" s="105">
        <f>IF($A288="","",SUM(D288:H288))</f>
        <v/>
      </c>
    </row>
    <row r="289" ht="15" customHeight="1" s="71">
      <c r="A289" s="87" t="n"/>
      <c r="B289" s="91" t="n"/>
      <c r="C289" s="89">
        <f>IF(OR($A289="",$B289=""),"",IFERROR(VLOOKUP($B289,Employés!$A:$B,2,0),""))</f>
        <v/>
      </c>
      <c r="D289" s="93" t="n"/>
      <c r="E289" s="93" t="n"/>
      <c r="F289" s="93" t="n"/>
      <c r="G289" s="93" t="n"/>
      <c r="H289" s="93" t="n"/>
      <c r="I289" s="105">
        <f>IF($A289="","",SUM(D289:H289))</f>
        <v/>
      </c>
    </row>
    <row r="290" ht="15" customHeight="1" s="71">
      <c r="A290" s="87" t="n"/>
      <c r="B290" s="91" t="n"/>
      <c r="C290" s="89">
        <f>IF(OR($A290="",$B290=""),"",IFERROR(VLOOKUP($B290,Employés!$A:$B,2,0),""))</f>
        <v/>
      </c>
      <c r="D290" s="93" t="n"/>
      <c r="E290" s="93" t="n"/>
      <c r="F290" s="93" t="n"/>
      <c r="G290" s="93" t="n"/>
      <c r="H290" s="93" t="n"/>
      <c r="I290" s="105">
        <f>IF($A290="","",SUM(D290:H290))</f>
        <v/>
      </c>
    </row>
    <row r="291" ht="15" customHeight="1" s="71">
      <c r="A291" s="87" t="n"/>
      <c r="B291" s="91" t="n"/>
      <c r="C291" s="89">
        <f>IF(OR($A291="",$B291=""),"",IFERROR(VLOOKUP($B291,Employés!$A:$B,2,0),""))</f>
        <v/>
      </c>
      <c r="D291" s="93" t="n"/>
      <c r="E291" s="93" t="n"/>
      <c r="F291" s="93" t="n"/>
      <c r="G291" s="93" t="n"/>
      <c r="H291" s="93" t="n"/>
      <c r="I291" s="105">
        <f>IF($A291="","",SUM(D291:H291))</f>
        <v/>
      </c>
    </row>
    <row r="292" ht="15" customHeight="1" s="71">
      <c r="A292" s="87" t="n"/>
      <c r="B292" s="91" t="n"/>
      <c r="C292" s="89">
        <f>IF(OR($A292="",$B292=""),"",IFERROR(VLOOKUP($B292,Employés!$A:$B,2,0),""))</f>
        <v/>
      </c>
      <c r="D292" s="93" t="n"/>
      <c r="E292" s="93" t="n"/>
      <c r="F292" s="93" t="n"/>
      <c r="G292" s="93" t="n"/>
      <c r="H292" s="93" t="n"/>
      <c r="I292" s="105">
        <f>IF($A292="","",SUM(D292:H292))</f>
        <v/>
      </c>
    </row>
    <row r="293" ht="15" customHeight="1" s="71">
      <c r="A293" s="87" t="n"/>
      <c r="B293" s="91" t="n"/>
      <c r="C293" s="89">
        <f>IF(OR($A293="",$B293=""),"",IFERROR(VLOOKUP($B293,Employés!$A:$B,2,0),""))</f>
        <v/>
      </c>
      <c r="D293" s="93" t="n"/>
      <c r="E293" s="93" t="n"/>
      <c r="F293" s="93" t="n"/>
      <c r="G293" s="93" t="n"/>
      <c r="H293" s="93" t="n"/>
      <c r="I293" s="105">
        <f>IF($A293="","",SUM(D293:H293))</f>
        <v/>
      </c>
    </row>
    <row r="294" ht="15" customHeight="1" s="71">
      <c r="A294" s="87" t="n"/>
      <c r="B294" s="91" t="n"/>
      <c r="C294" s="89">
        <f>IF(OR($A294="",$B294=""),"",IFERROR(VLOOKUP($B294,Employés!$A:$B,2,0),""))</f>
        <v/>
      </c>
      <c r="D294" s="93" t="n"/>
      <c r="E294" s="93" t="n"/>
      <c r="F294" s="93" t="n"/>
      <c r="G294" s="93" t="n"/>
      <c r="H294" s="93" t="n"/>
      <c r="I294" s="105">
        <f>IF($A294="","",SUM(D294:H294))</f>
        <v/>
      </c>
    </row>
    <row r="295" ht="15" customHeight="1" s="71">
      <c r="A295" s="87" t="n"/>
      <c r="B295" s="91" t="n"/>
      <c r="C295" s="89">
        <f>IF(OR($A295="",$B295=""),"",IFERROR(VLOOKUP($B295,Employés!$A:$B,2,0),""))</f>
        <v/>
      </c>
      <c r="D295" s="93" t="n"/>
      <c r="E295" s="93" t="n"/>
      <c r="F295" s="93" t="n"/>
      <c r="G295" s="93" t="n"/>
      <c r="H295" s="93" t="n"/>
      <c r="I295" s="105">
        <f>IF($A295="","",SUM(D295:H295))</f>
        <v/>
      </c>
    </row>
    <row r="296" ht="15" customHeight="1" s="71">
      <c r="A296" s="87" t="n"/>
      <c r="B296" s="91" t="n"/>
      <c r="C296" s="89">
        <f>IF(OR($A296="",$B296=""),"",IFERROR(VLOOKUP($B296,Employés!$A:$B,2,0),""))</f>
        <v/>
      </c>
      <c r="D296" s="93" t="n"/>
      <c r="E296" s="93" t="n"/>
      <c r="F296" s="93" t="n"/>
      <c r="G296" s="93" t="n"/>
      <c r="H296" s="93" t="n"/>
      <c r="I296" s="105">
        <f>IF($A296="","",SUM(D296:H296))</f>
        <v/>
      </c>
    </row>
    <row r="297" ht="15" customHeight="1" s="71">
      <c r="A297" s="87" t="n"/>
      <c r="B297" s="91" t="n"/>
      <c r="C297" s="89">
        <f>IF(OR($A297="",$B297=""),"",IFERROR(VLOOKUP($B297,Employés!$A:$B,2,0),""))</f>
        <v/>
      </c>
      <c r="D297" s="93" t="n"/>
      <c r="E297" s="93" t="n"/>
      <c r="F297" s="93" t="n"/>
      <c r="G297" s="93" t="n"/>
      <c r="H297" s="93" t="n"/>
      <c r="I297" s="105">
        <f>IF($A297="","",SUM(D297:H297))</f>
        <v/>
      </c>
    </row>
    <row r="298" ht="15" customHeight="1" s="71">
      <c r="A298" s="87" t="n"/>
      <c r="B298" s="91" t="n"/>
      <c r="C298" s="89">
        <f>IF(OR($A298="",$B298=""),"",IFERROR(VLOOKUP($B298,Employés!$A:$B,2,0),""))</f>
        <v/>
      </c>
      <c r="D298" s="93" t="n"/>
      <c r="E298" s="93" t="n"/>
      <c r="F298" s="93" t="n"/>
      <c r="G298" s="93" t="n"/>
      <c r="H298" s="93" t="n"/>
      <c r="I298" s="105">
        <f>IF($A298="","",SUM(D298:H298))</f>
        <v/>
      </c>
    </row>
    <row r="299" ht="15" customHeight="1" s="71">
      <c r="A299" s="87" t="n"/>
      <c r="B299" s="91" t="n"/>
      <c r="C299" s="89">
        <f>IF(OR($A299="",$B299=""),"",IFERROR(VLOOKUP($B299,Employés!$A:$B,2,0),""))</f>
        <v/>
      </c>
      <c r="D299" s="93" t="n"/>
      <c r="E299" s="93" t="n"/>
      <c r="F299" s="93" t="n"/>
      <c r="G299" s="93" t="n"/>
      <c r="H299" s="93" t="n"/>
      <c r="I299" s="105">
        <f>IF($A299="","",SUM(D299:H299))</f>
        <v/>
      </c>
    </row>
    <row r="300" ht="15" customHeight="1" s="71">
      <c r="A300" s="87" t="n"/>
      <c r="B300" s="91" t="n"/>
      <c r="C300" s="89">
        <f>IF(OR($A300="",$B300=""),"",IFERROR(VLOOKUP($B300,Employés!$A:$B,2,0),""))</f>
        <v/>
      </c>
      <c r="D300" s="93" t="n"/>
      <c r="E300" s="93" t="n"/>
      <c r="F300" s="93" t="n"/>
      <c r="G300" s="93" t="n"/>
      <c r="H300" s="93" t="n"/>
      <c r="I300" s="105">
        <f>IF($A300="","",SUM(D300:H300))</f>
        <v/>
      </c>
    </row>
    <row r="301" ht="15" customHeight="1" s="71">
      <c r="A301" s="87" t="n"/>
      <c r="B301" s="91" t="n"/>
      <c r="C301" s="89">
        <f>IF(OR($A301="",$B301=""),"",IFERROR(VLOOKUP($B301,Employés!$A:$B,2,0),""))</f>
        <v/>
      </c>
      <c r="D301" s="93" t="n"/>
      <c r="E301" s="93" t="n"/>
      <c r="F301" s="93" t="n"/>
      <c r="G301" s="93" t="n"/>
      <c r="H301" s="93" t="n"/>
      <c r="I301" s="105">
        <f>IF($A301="","",SUM(D301:H301))</f>
        <v/>
      </c>
    </row>
    <row r="302" ht="15" customHeight="1" s="71">
      <c r="A302" s="87" t="n"/>
      <c r="B302" s="91" t="n"/>
      <c r="C302" s="89">
        <f>IF(OR($A302="",$B302=""),"",IFERROR(VLOOKUP($B302,Employés!$A:$B,2,0),""))</f>
        <v/>
      </c>
      <c r="D302" s="93" t="n"/>
      <c r="E302" s="93" t="n"/>
      <c r="F302" s="93" t="n"/>
      <c r="G302" s="93" t="n"/>
      <c r="H302" s="93" t="n"/>
      <c r="I302" s="105">
        <f>IF($A302="","",SUM(D302:H302))</f>
        <v/>
      </c>
    </row>
    <row r="303" ht="15" customHeight="1" s="71">
      <c r="A303" s="87" t="n"/>
      <c r="B303" s="91" t="n"/>
      <c r="C303" s="89">
        <f>IF(OR($A303="",$B303=""),"",IFERROR(VLOOKUP($B303,Employés!$A:$B,2,0),""))</f>
        <v/>
      </c>
      <c r="D303" s="93" t="n"/>
      <c r="E303" s="93" t="n"/>
      <c r="F303" s="93" t="n"/>
      <c r="G303" s="93" t="n"/>
      <c r="H303" s="93" t="n"/>
      <c r="I303" s="105">
        <f>IF($A303="","",SUM(D303:H303))</f>
        <v/>
      </c>
    </row>
    <row r="304" ht="15" customHeight="1" s="71">
      <c r="A304" s="87" t="n"/>
      <c r="B304" s="91" t="n"/>
      <c r="C304" s="89">
        <f>IF(OR($A304="",$B304=""),"",IFERROR(VLOOKUP($B304,Employés!$A:$B,2,0),""))</f>
        <v/>
      </c>
      <c r="D304" s="93" t="n"/>
      <c r="E304" s="93" t="n"/>
      <c r="F304" s="93" t="n"/>
      <c r="G304" s="93" t="n"/>
      <c r="H304" s="93" t="n"/>
      <c r="I304" s="105">
        <f>IF($A304="","",SUM(D304:H304))</f>
        <v/>
      </c>
    </row>
    <row r="305" ht="15" customHeight="1" s="71">
      <c r="A305" s="87" t="n"/>
      <c r="B305" s="91" t="n"/>
      <c r="C305" s="89">
        <f>IF(OR($A305="",$B305=""),"",IFERROR(VLOOKUP($B305,Employés!$A:$B,2,0),""))</f>
        <v/>
      </c>
      <c r="D305" s="93" t="n"/>
      <c r="E305" s="93" t="n"/>
      <c r="F305" s="93" t="n"/>
      <c r="G305" s="93" t="n"/>
      <c r="H305" s="93" t="n"/>
      <c r="I305" s="105">
        <f>IF($A305="","",SUM(D305:H305))</f>
        <v/>
      </c>
    </row>
    <row r="306" ht="15" customHeight="1" s="71">
      <c r="A306" s="87" t="n"/>
      <c r="B306" s="91" t="n"/>
      <c r="C306" s="89">
        <f>IF(OR($A306="",$B306=""),"",IFERROR(VLOOKUP($B306,Employés!$A:$B,2,0),""))</f>
        <v/>
      </c>
      <c r="D306" s="93" t="n"/>
      <c r="E306" s="93" t="n"/>
      <c r="F306" s="93" t="n"/>
      <c r="G306" s="93" t="n"/>
      <c r="H306" s="93" t="n"/>
      <c r="I306" s="105">
        <f>IF($A306="","",SUM(D306:H306))</f>
        <v/>
      </c>
    </row>
    <row r="307" ht="15" customHeight="1" s="71">
      <c r="A307" s="87" t="n"/>
      <c r="B307" s="91" t="n"/>
      <c r="C307" s="89">
        <f>IF(OR($A307="",$B307=""),"",IFERROR(VLOOKUP($B307,Employés!$A:$B,2,0),""))</f>
        <v/>
      </c>
      <c r="D307" s="93" t="n"/>
      <c r="E307" s="93" t="n"/>
      <c r="F307" s="93" t="n"/>
      <c r="G307" s="93" t="n"/>
      <c r="H307" s="93" t="n"/>
      <c r="I307" s="105">
        <f>IF($A307="","",SUM(D307:H307))</f>
        <v/>
      </c>
    </row>
    <row r="308" ht="15" customHeight="1" s="71">
      <c r="A308" s="87" t="n"/>
      <c r="B308" s="91" t="n"/>
      <c r="C308" s="89">
        <f>IF(OR($A308="",$B308=""),"",IFERROR(VLOOKUP($B308,Employés!$A:$B,2,0),""))</f>
        <v/>
      </c>
      <c r="D308" s="93" t="n"/>
      <c r="E308" s="93" t="n"/>
      <c r="F308" s="93" t="n"/>
      <c r="G308" s="93" t="n"/>
      <c r="H308" s="93" t="n"/>
      <c r="I308" s="105">
        <f>IF($A308="","",SUM(D308:H308))</f>
        <v/>
      </c>
    </row>
    <row r="309" ht="15" customHeight="1" s="71">
      <c r="A309" s="87" t="n"/>
      <c r="B309" s="91" t="n"/>
      <c r="C309" s="89">
        <f>IF(OR($A309="",$B309=""),"",IFERROR(VLOOKUP($B309,Employés!$A:$B,2,0),""))</f>
        <v/>
      </c>
      <c r="D309" s="93" t="n"/>
      <c r="E309" s="93" t="n"/>
      <c r="F309" s="93" t="n"/>
      <c r="G309" s="93" t="n"/>
      <c r="H309" s="93" t="n"/>
      <c r="I309" s="105">
        <f>IF($A309="","",SUM(D309:H309))</f>
        <v/>
      </c>
    </row>
    <row r="310" ht="15" customHeight="1" s="71">
      <c r="A310" s="87" t="n"/>
      <c r="B310" s="91" t="n"/>
      <c r="C310" s="89">
        <f>IF(OR($A310="",$B310=""),"",IFERROR(VLOOKUP($B310,Employés!$A:$B,2,0),""))</f>
        <v/>
      </c>
      <c r="D310" s="93" t="n"/>
      <c r="E310" s="93" t="n"/>
      <c r="F310" s="93" t="n"/>
      <c r="G310" s="93" t="n"/>
      <c r="H310" s="93" t="n"/>
      <c r="I310" s="105">
        <f>IF($A310="","",SUM(D310:H310))</f>
        <v/>
      </c>
    </row>
    <row r="311" ht="15" customHeight="1" s="71">
      <c r="A311" s="87" t="n"/>
      <c r="B311" s="91" t="n"/>
      <c r="C311" s="89">
        <f>IF(OR($A311="",$B311=""),"",IFERROR(VLOOKUP($B311,Employés!$A:$B,2,0),""))</f>
        <v/>
      </c>
      <c r="D311" s="93" t="n"/>
      <c r="E311" s="93" t="n"/>
      <c r="F311" s="93" t="n"/>
      <c r="G311" s="93" t="n"/>
      <c r="H311" s="93" t="n"/>
      <c r="I311" s="105">
        <f>IF($A311="","",SUM(D311:H311))</f>
        <v/>
      </c>
    </row>
    <row r="312" ht="15" customHeight="1" s="71">
      <c r="A312" s="87" t="n"/>
      <c r="B312" s="91" t="n"/>
      <c r="C312" s="89">
        <f>IF(OR($A312="",$B312=""),"",IFERROR(VLOOKUP($B312,Employés!$A:$B,2,0),""))</f>
        <v/>
      </c>
      <c r="D312" s="93" t="n"/>
      <c r="E312" s="93" t="n"/>
      <c r="F312" s="93" t="n"/>
      <c r="G312" s="93" t="n"/>
      <c r="H312" s="93" t="n"/>
      <c r="I312" s="105">
        <f>IF($A312="","",SUM(D312:H312))</f>
        <v/>
      </c>
    </row>
    <row r="313" ht="15" customHeight="1" s="71">
      <c r="A313" s="87" t="n"/>
      <c r="B313" s="91" t="n"/>
      <c r="C313" s="89">
        <f>IF(OR($A313="",$B313=""),"",IFERROR(VLOOKUP($B313,Employés!$A:$B,2,0),""))</f>
        <v/>
      </c>
      <c r="D313" s="93" t="n"/>
      <c r="E313" s="93" t="n"/>
      <c r="F313" s="93" t="n"/>
      <c r="G313" s="93" t="n"/>
      <c r="H313" s="93" t="n"/>
      <c r="I313" s="105">
        <f>IF($A313="","",SUM(D313:H313))</f>
        <v/>
      </c>
    </row>
    <row r="314" ht="15" customHeight="1" s="71">
      <c r="A314" s="87" t="n"/>
      <c r="B314" s="91" t="n"/>
      <c r="C314" s="89">
        <f>IF(OR($A314="",$B314=""),"",IFERROR(VLOOKUP($B314,Employés!$A:$B,2,0),""))</f>
        <v/>
      </c>
      <c r="D314" s="93" t="n"/>
      <c r="E314" s="93" t="n"/>
      <c r="F314" s="93" t="n"/>
      <c r="G314" s="93" t="n"/>
      <c r="H314" s="93" t="n"/>
      <c r="I314" s="105">
        <f>IF($A314="","",SUM(D314:H314))</f>
        <v/>
      </c>
    </row>
    <row r="315" ht="15" customHeight="1" s="71">
      <c r="A315" s="87" t="n"/>
      <c r="B315" s="91" t="n"/>
      <c r="C315" s="89">
        <f>IF(OR($A315="",$B315=""),"",IFERROR(VLOOKUP($B315,Employés!$A:$B,2,0),""))</f>
        <v/>
      </c>
      <c r="D315" s="93" t="n"/>
      <c r="E315" s="93" t="n"/>
      <c r="F315" s="93" t="n"/>
      <c r="G315" s="93" t="n"/>
      <c r="H315" s="93" t="n"/>
      <c r="I315" s="105">
        <f>IF($A315="","",SUM(D315:H315))</f>
        <v/>
      </c>
    </row>
    <row r="316" ht="15" customHeight="1" s="71">
      <c r="A316" s="87" t="n"/>
      <c r="B316" s="91" t="n"/>
      <c r="C316" s="89">
        <f>IF(OR($A316="",$B316=""),"",IFERROR(VLOOKUP($B316,Employés!$A:$B,2,0),""))</f>
        <v/>
      </c>
      <c r="D316" s="93" t="n"/>
      <c r="E316" s="93" t="n"/>
      <c r="F316" s="93" t="n"/>
      <c r="G316" s="93" t="n"/>
      <c r="H316" s="93" t="n"/>
      <c r="I316" s="105">
        <f>IF($A316="","",SUM(D316:H316))</f>
        <v/>
      </c>
    </row>
    <row r="317" ht="15" customHeight="1" s="71">
      <c r="A317" s="87" t="n"/>
      <c r="B317" s="91" t="n"/>
      <c r="C317" s="89">
        <f>IF(OR($A317="",$B317=""),"",IFERROR(VLOOKUP($B317,Employés!$A:$B,2,0),""))</f>
        <v/>
      </c>
      <c r="D317" s="93" t="n"/>
      <c r="E317" s="93" t="n"/>
      <c r="F317" s="93" t="n"/>
      <c r="G317" s="93" t="n"/>
      <c r="H317" s="93" t="n"/>
      <c r="I317" s="105">
        <f>IF($A317="","",SUM(D317:H317))</f>
        <v/>
      </c>
    </row>
    <row r="318" ht="15" customHeight="1" s="71">
      <c r="A318" s="87" t="n"/>
      <c r="B318" s="91" t="n"/>
      <c r="C318" s="89">
        <f>IF(OR($A318="",$B318=""),"",IFERROR(VLOOKUP($B318,Employés!$A:$B,2,0),""))</f>
        <v/>
      </c>
      <c r="D318" s="93" t="n"/>
      <c r="E318" s="93" t="n"/>
      <c r="F318" s="93" t="n"/>
      <c r="G318" s="93" t="n"/>
      <c r="H318" s="93" t="n"/>
      <c r="I318" s="105">
        <f>IF($A318="","",SUM(D318:H318))</f>
        <v/>
      </c>
    </row>
    <row r="319" ht="15" customHeight="1" s="71">
      <c r="A319" s="87" t="n"/>
      <c r="B319" s="91" t="n"/>
      <c r="C319" s="89">
        <f>IF(OR($A319="",$B319=""),"",IFERROR(VLOOKUP($B319,Employés!$A:$B,2,0),""))</f>
        <v/>
      </c>
      <c r="D319" s="93" t="n"/>
      <c r="E319" s="93" t="n"/>
      <c r="F319" s="93" t="n"/>
      <c r="G319" s="93" t="n"/>
      <c r="H319" s="93" t="n"/>
      <c r="I319" s="105">
        <f>IF($A319="","",SUM(D319:H319))</f>
        <v/>
      </c>
    </row>
    <row r="320" ht="15" customHeight="1" s="71">
      <c r="A320" s="87" t="n"/>
      <c r="B320" s="91" t="n"/>
      <c r="C320" s="89">
        <f>IF(OR($A320="",$B320=""),"",IFERROR(VLOOKUP($B320,Employés!$A:$B,2,0),""))</f>
        <v/>
      </c>
      <c r="D320" s="93" t="n"/>
      <c r="E320" s="93" t="n"/>
      <c r="F320" s="93" t="n"/>
      <c r="G320" s="93" t="n"/>
      <c r="H320" s="93" t="n"/>
      <c r="I320" s="105">
        <f>IF($A320="","",SUM(D320:H320))</f>
        <v/>
      </c>
    </row>
    <row r="321" ht="15" customHeight="1" s="71">
      <c r="A321" s="87" t="n"/>
      <c r="B321" s="91" t="n"/>
      <c r="C321" s="89">
        <f>IF(OR($A321="",$B321=""),"",IFERROR(VLOOKUP($B321,Employés!$A:$B,2,0),""))</f>
        <v/>
      </c>
      <c r="D321" s="93" t="n"/>
      <c r="E321" s="93" t="n"/>
      <c r="F321" s="93" t="n"/>
      <c r="G321" s="93" t="n"/>
      <c r="H321" s="93" t="n"/>
      <c r="I321" s="105">
        <f>IF($A321="","",SUM(D321:H321))</f>
        <v/>
      </c>
    </row>
    <row r="322" ht="15" customHeight="1" s="71">
      <c r="A322" s="87" t="n"/>
      <c r="B322" s="91" t="n"/>
      <c r="C322" s="89">
        <f>IF(OR($A322="",$B322=""),"",IFERROR(VLOOKUP($B322,Employés!$A:$B,2,0),""))</f>
        <v/>
      </c>
      <c r="D322" s="93" t="n"/>
      <c r="E322" s="93" t="n"/>
      <c r="F322" s="93" t="n"/>
      <c r="G322" s="93" t="n"/>
      <c r="H322" s="93" t="n"/>
      <c r="I322" s="105">
        <f>IF($A322="","",SUM(D322:H322))</f>
        <v/>
      </c>
    </row>
    <row r="323" ht="15" customHeight="1" s="71">
      <c r="A323" s="87" t="n"/>
      <c r="B323" s="91" t="n"/>
      <c r="C323" s="89">
        <f>IF(OR($A323="",$B323=""),"",IFERROR(VLOOKUP($B323,Employés!$A:$B,2,0),""))</f>
        <v/>
      </c>
      <c r="D323" s="93" t="n"/>
      <c r="E323" s="93" t="n"/>
      <c r="F323" s="93" t="n"/>
      <c r="G323" s="93" t="n"/>
      <c r="H323" s="93" t="n"/>
      <c r="I323" s="105">
        <f>IF($A323="","",SUM(D323:H323))</f>
        <v/>
      </c>
    </row>
    <row r="324" ht="15" customHeight="1" s="71">
      <c r="A324" s="87" t="n"/>
      <c r="B324" s="91" t="n"/>
      <c r="C324" s="89">
        <f>IF(OR($A324="",$B324=""),"",IFERROR(VLOOKUP($B324,Employés!$A:$B,2,0),""))</f>
        <v/>
      </c>
      <c r="D324" s="93" t="n"/>
      <c r="E324" s="93" t="n"/>
      <c r="F324" s="93" t="n"/>
      <c r="G324" s="93" t="n"/>
      <c r="H324" s="93" t="n"/>
      <c r="I324" s="105">
        <f>IF($A324="","",SUM(D324:H324))</f>
        <v/>
      </c>
    </row>
    <row r="325" ht="15" customHeight="1" s="71">
      <c r="A325" s="87" t="n"/>
      <c r="B325" s="91" t="n"/>
      <c r="C325" s="89">
        <f>IF(OR($A325="",$B325=""),"",IFERROR(VLOOKUP($B325,Employés!$A:$B,2,0),""))</f>
        <v/>
      </c>
      <c r="D325" s="93" t="n"/>
      <c r="E325" s="93" t="n"/>
      <c r="F325" s="93" t="n"/>
      <c r="G325" s="93" t="n"/>
      <c r="H325" s="93" t="n"/>
      <c r="I325" s="105">
        <f>IF($A325="","",SUM(D325:H325))</f>
        <v/>
      </c>
    </row>
    <row r="326" ht="15" customHeight="1" s="71">
      <c r="A326" s="87" t="n"/>
      <c r="B326" s="91" t="n"/>
      <c r="C326" s="89">
        <f>IF(OR($A326="",$B326=""),"",IFERROR(VLOOKUP($B326,Employés!$A:$B,2,0),""))</f>
        <v/>
      </c>
      <c r="D326" s="93" t="n"/>
      <c r="E326" s="93" t="n"/>
      <c r="F326" s="93" t="n"/>
      <c r="G326" s="93" t="n"/>
      <c r="H326" s="93" t="n"/>
      <c r="I326" s="105">
        <f>IF($A326="","",SUM(D326:H326))</f>
        <v/>
      </c>
    </row>
    <row r="327" ht="15" customHeight="1" s="71">
      <c r="A327" s="87" t="n"/>
      <c r="B327" s="91" t="n"/>
      <c r="C327" s="89">
        <f>IF(OR($A327="",$B327=""),"",IFERROR(VLOOKUP($B327,Employés!$A:$B,2,0),""))</f>
        <v/>
      </c>
      <c r="D327" s="93" t="n"/>
      <c r="E327" s="93" t="n"/>
      <c r="F327" s="93" t="n"/>
      <c r="G327" s="93" t="n"/>
      <c r="H327" s="93" t="n"/>
      <c r="I327" s="105">
        <f>IF($A327="","",SUM(D327:H327))</f>
        <v/>
      </c>
    </row>
    <row r="328" ht="15" customHeight="1" s="71">
      <c r="A328" s="87" t="n"/>
      <c r="B328" s="91" t="n"/>
      <c r="C328" s="89">
        <f>IF(OR($A328="",$B328=""),"",IFERROR(VLOOKUP($B328,Employés!$A:$B,2,0),""))</f>
        <v/>
      </c>
      <c r="D328" s="93" t="n"/>
      <c r="E328" s="93" t="n"/>
      <c r="F328" s="93" t="n"/>
      <c r="G328" s="93" t="n"/>
      <c r="H328" s="93" t="n"/>
      <c r="I328" s="105">
        <f>IF($A328="","",SUM(D328:H328))</f>
        <v/>
      </c>
    </row>
    <row r="329" ht="15" customHeight="1" s="71">
      <c r="A329" s="87" t="n"/>
      <c r="B329" s="91" t="n"/>
      <c r="C329" s="89">
        <f>IF(OR($A329="",$B329=""),"",IFERROR(VLOOKUP($B329,Employés!$A:$B,2,0),""))</f>
        <v/>
      </c>
      <c r="D329" s="93" t="n"/>
      <c r="E329" s="93" t="n"/>
      <c r="F329" s="93" t="n"/>
      <c r="G329" s="93" t="n"/>
      <c r="H329" s="93" t="n"/>
      <c r="I329" s="105">
        <f>IF($A329="","",SUM(D329:H329))</f>
        <v/>
      </c>
    </row>
    <row r="330" ht="15" customHeight="1" s="71">
      <c r="A330" s="87" t="n"/>
      <c r="B330" s="91" t="n"/>
      <c r="C330" s="89">
        <f>IF(OR($A330="",$B330=""),"",IFERROR(VLOOKUP($B330,Employés!$A:$B,2,0),""))</f>
        <v/>
      </c>
      <c r="D330" s="93" t="n"/>
      <c r="E330" s="93" t="n"/>
      <c r="F330" s="93" t="n"/>
      <c r="G330" s="93" t="n"/>
      <c r="H330" s="93" t="n"/>
      <c r="I330" s="105">
        <f>IF($A330="","",SUM(D330:H330))</f>
        <v/>
      </c>
    </row>
    <row r="331" ht="15" customHeight="1" s="71">
      <c r="A331" s="87" t="n"/>
      <c r="B331" s="91" t="n"/>
      <c r="C331" s="89">
        <f>IF(OR($A331="",$B331=""),"",IFERROR(VLOOKUP($B331,Employés!$A:$B,2,0),""))</f>
        <v/>
      </c>
      <c r="D331" s="93" t="n"/>
      <c r="E331" s="93" t="n"/>
      <c r="F331" s="93" t="n"/>
      <c r="G331" s="93" t="n"/>
      <c r="H331" s="93" t="n"/>
      <c r="I331" s="105">
        <f>IF($A331="","",SUM(D331:H331))</f>
        <v/>
      </c>
    </row>
    <row r="332" ht="15" customHeight="1" s="71">
      <c r="A332" s="87" t="n"/>
      <c r="B332" s="91" t="n"/>
      <c r="C332" s="89">
        <f>IF(OR($A332="",$B332=""),"",IFERROR(VLOOKUP($B332,Employés!$A:$B,2,0),""))</f>
        <v/>
      </c>
      <c r="D332" s="93" t="n"/>
      <c r="E332" s="93" t="n"/>
      <c r="F332" s="93" t="n"/>
      <c r="G332" s="93" t="n"/>
      <c r="H332" s="93" t="n"/>
      <c r="I332" s="105">
        <f>IF($A332="","",SUM(D332:H332))</f>
        <v/>
      </c>
    </row>
    <row r="333" ht="15" customHeight="1" s="71">
      <c r="A333" s="87" t="n"/>
      <c r="B333" s="91" t="n"/>
      <c r="C333" s="89">
        <f>IF(OR($A333="",$B333=""),"",IFERROR(VLOOKUP($B333,Employés!$A:$B,2,0),""))</f>
        <v/>
      </c>
      <c r="D333" s="93" t="n"/>
      <c r="E333" s="93" t="n"/>
      <c r="F333" s="93" t="n"/>
      <c r="G333" s="93" t="n"/>
      <c r="H333" s="93" t="n"/>
      <c r="I333" s="105">
        <f>IF($A333="","",SUM(D333:H333))</f>
        <v/>
      </c>
    </row>
    <row r="334" ht="15" customHeight="1" s="71">
      <c r="A334" s="87" t="n"/>
      <c r="B334" s="91" t="n"/>
      <c r="C334" s="89">
        <f>IF(OR($A334="",$B334=""),"",IFERROR(VLOOKUP($B334,Employés!$A:$B,2,0),""))</f>
        <v/>
      </c>
      <c r="D334" s="93" t="n"/>
      <c r="E334" s="93" t="n"/>
      <c r="F334" s="93" t="n"/>
      <c r="G334" s="93" t="n"/>
      <c r="H334" s="93" t="n"/>
      <c r="I334" s="105">
        <f>IF($A334="","",SUM(D334:H334))</f>
        <v/>
      </c>
    </row>
    <row r="335" ht="15" customHeight="1" s="71">
      <c r="A335" s="87" t="n"/>
      <c r="B335" s="91" t="n"/>
      <c r="C335" s="89">
        <f>IF(OR($A335="",$B335=""),"",IFERROR(VLOOKUP($B335,Employés!$A:$B,2,0),""))</f>
        <v/>
      </c>
      <c r="D335" s="93" t="n"/>
      <c r="E335" s="93" t="n"/>
      <c r="F335" s="93" t="n"/>
      <c r="G335" s="93" t="n"/>
      <c r="H335" s="93" t="n"/>
      <c r="I335" s="105">
        <f>IF($A335="","",SUM(D335:H335))</f>
        <v/>
      </c>
    </row>
    <row r="336" ht="15" customHeight="1" s="71">
      <c r="A336" s="87" t="n"/>
      <c r="B336" s="91" t="n"/>
      <c r="C336" s="89">
        <f>IF(OR($A336="",$B336=""),"",IFERROR(VLOOKUP($B336,Employés!$A:$B,2,0),""))</f>
        <v/>
      </c>
      <c r="D336" s="93" t="n"/>
      <c r="E336" s="93" t="n"/>
      <c r="F336" s="93" t="n"/>
      <c r="G336" s="93" t="n"/>
      <c r="H336" s="93" t="n"/>
      <c r="I336" s="105">
        <f>IF($A336="","",SUM(D336:H336))</f>
        <v/>
      </c>
    </row>
    <row r="337" ht="15" customHeight="1" s="71">
      <c r="A337" s="87" t="n"/>
      <c r="B337" s="91" t="n"/>
      <c r="C337" s="89">
        <f>IF(OR($A337="",$B337=""),"",IFERROR(VLOOKUP($B337,Employés!$A:$B,2,0),""))</f>
        <v/>
      </c>
      <c r="D337" s="93" t="n"/>
      <c r="E337" s="93" t="n"/>
      <c r="F337" s="93" t="n"/>
      <c r="G337" s="93" t="n"/>
      <c r="H337" s="93" t="n"/>
      <c r="I337" s="105">
        <f>IF($A337="","",SUM(D337:H337))</f>
        <v/>
      </c>
    </row>
    <row r="338" ht="15" customHeight="1" s="71">
      <c r="A338" s="87" t="n"/>
      <c r="B338" s="91" t="n"/>
      <c r="C338" s="89">
        <f>IF(OR($A338="",$B338=""),"",IFERROR(VLOOKUP($B338,Employés!$A:$B,2,0),""))</f>
        <v/>
      </c>
      <c r="D338" s="93" t="n"/>
      <c r="E338" s="93" t="n"/>
      <c r="F338" s="93" t="n"/>
      <c r="G338" s="93" t="n"/>
      <c r="H338" s="93" t="n"/>
      <c r="I338" s="105">
        <f>IF($A338="","",SUM(D338:H338))</f>
        <v/>
      </c>
    </row>
    <row r="339" ht="15" customHeight="1" s="71">
      <c r="A339" s="87" t="n"/>
      <c r="B339" s="91" t="n"/>
      <c r="C339" s="89">
        <f>IF(OR($A339="",$B339=""),"",IFERROR(VLOOKUP($B339,Employés!$A:$B,2,0),""))</f>
        <v/>
      </c>
      <c r="D339" s="93" t="n"/>
      <c r="E339" s="93" t="n"/>
      <c r="F339" s="93" t="n"/>
      <c r="G339" s="93" t="n"/>
      <c r="H339" s="93" t="n"/>
      <c r="I339" s="105">
        <f>IF($A339="","",SUM(D339:H339))</f>
        <v/>
      </c>
    </row>
    <row r="340" ht="15" customHeight="1" s="71">
      <c r="A340" s="87" t="n"/>
      <c r="B340" s="91" t="n"/>
      <c r="C340" s="89">
        <f>IF(OR($A340="",$B340=""),"",IFERROR(VLOOKUP($B340,Employés!$A:$B,2,0),""))</f>
        <v/>
      </c>
      <c r="D340" s="93" t="n"/>
      <c r="E340" s="93" t="n"/>
      <c r="F340" s="93" t="n"/>
      <c r="G340" s="93" t="n"/>
      <c r="H340" s="93" t="n"/>
      <c r="I340" s="105">
        <f>IF($A340="","",SUM(D340:H340))</f>
        <v/>
      </c>
    </row>
    <row r="341" ht="15" customHeight="1" s="71">
      <c r="A341" s="87" t="n"/>
      <c r="B341" s="91" t="n"/>
      <c r="C341" s="89">
        <f>IF(OR($A341="",$B341=""),"",IFERROR(VLOOKUP($B341,Employés!$A:$B,2,0),""))</f>
        <v/>
      </c>
      <c r="D341" s="93" t="n"/>
      <c r="E341" s="93" t="n"/>
      <c r="F341" s="93" t="n"/>
      <c r="G341" s="93" t="n"/>
      <c r="H341" s="93" t="n"/>
      <c r="I341" s="105">
        <f>IF($A341="","",SUM(D341:H341))</f>
        <v/>
      </c>
    </row>
    <row r="342" ht="15" customHeight="1" s="71">
      <c r="A342" s="87" t="n"/>
      <c r="B342" s="91" t="n"/>
      <c r="C342" s="89">
        <f>IF(OR($A342="",$B342=""),"",IFERROR(VLOOKUP($B342,Employés!$A:$B,2,0),""))</f>
        <v/>
      </c>
      <c r="D342" s="93" t="n"/>
      <c r="E342" s="93" t="n"/>
      <c r="F342" s="93" t="n"/>
      <c r="G342" s="93" t="n"/>
      <c r="H342" s="93" t="n"/>
      <c r="I342" s="105">
        <f>IF($A342="","",SUM(D342:H342))</f>
        <v/>
      </c>
    </row>
    <row r="343" ht="15" customHeight="1" s="71">
      <c r="A343" s="87" t="n"/>
      <c r="B343" s="91" t="n"/>
      <c r="C343" s="89">
        <f>IF(OR($A343="",$B343=""),"",IFERROR(VLOOKUP($B343,Employés!$A:$B,2,0),""))</f>
        <v/>
      </c>
      <c r="D343" s="93" t="n"/>
      <c r="E343" s="93" t="n"/>
      <c r="F343" s="93" t="n"/>
      <c r="G343" s="93" t="n"/>
      <c r="H343" s="93" t="n"/>
      <c r="I343" s="105">
        <f>IF($A343="","",SUM(D343:H343))</f>
        <v/>
      </c>
    </row>
    <row r="344" ht="15" customHeight="1" s="71">
      <c r="A344" s="87" t="n"/>
      <c r="B344" s="91" t="n"/>
      <c r="C344" s="89">
        <f>IF(OR($A344="",$B344=""),"",IFERROR(VLOOKUP($B344,Employés!$A:$B,2,0),""))</f>
        <v/>
      </c>
      <c r="D344" s="93" t="n"/>
      <c r="E344" s="93" t="n"/>
      <c r="F344" s="93" t="n"/>
      <c r="G344" s="93" t="n"/>
      <c r="H344" s="93" t="n"/>
      <c r="I344" s="105">
        <f>IF($A344="","",SUM(D344:H344))</f>
        <v/>
      </c>
    </row>
    <row r="345" ht="15" customHeight="1" s="71">
      <c r="A345" s="87" t="n"/>
      <c r="B345" s="91" t="n"/>
      <c r="C345" s="89">
        <f>IF(OR($A345="",$B345=""),"",IFERROR(VLOOKUP($B345,Employés!$A:$B,2,0),""))</f>
        <v/>
      </c>
      <c r="D345" s="93" t="n"/>
      <c r="E345" s="93" t="n"/>
      <c r="F345" s="93" t="n"/>
      <c r="G345" s="93" t="n"/>
      <c r="H345" s="93" t="n"/>
      <c r="I345" s="105">
        <f>IF($A345="","",SUM(D345:H345))</f>
        <v/>
      </c>
    </row>
    <row r="346" ht="15" customHeight="1" s="71">
      <c r="A346" s="87" t="n"/>
      <c r="B346" s="91" t="n"/>
      <c r="C346" s="89">
        <f>IF(OR($A346="",$B346=""),"",IFERROR(VLOOKUP($B346,Employés!$A:$B,2,0),""))</f>
        <v/>
      </c>
      <c r="D346" s="93" t="n"/>
      <c r="E346" s="93" t="n"/>
      <c r="F346" s="93" t="n"/>
      <c r="G346" s="93" t="n"/>
      <c r="H346" s="93" t="n"/>
      <c r="I346" s="105">
        <f>IF($A346="","",SUM(D346:H346))</f>
        <v/>
      </c>
    </row>
    <row r="347" ht="15" customHeight="1" s="71">
      <c r="A347" s="87" t="n"/>
      <c r="B347" s="91" t="n"/>
      <c r="C347" s="89">
        <f>IF(OR($A347="",$B347=""),"",IFERROR(VLOOKUP($B347,Employés!$A:$B,2,0),""))</f>
        <v/>
      </c>
      <c r="D347" s="93" t="n"/>
      <c r="E347" s="93" t="n"/>
      <c r="F347" s="93" t="n"/>
      <c r="G347" s="93" t="n"/>
      <c r="H347" s="93" t="n"/>
      <c r="I347" s="105">
        <f>IF($A347="","",SUM(D347:H347))</f>
        <v/>
      </c>
    </row>
    <row r="348" ht="15" customHeight="1" s="71">
      <c r="A348" s="87" t="n"/>
      <c r="B348" s="91" t="n"/>
      <c r="C348" s="89">
        <f>IF(OR($A348="",$B348=""),"",IFERROR(VLOOKUP($B348,Employés!$A:$B,2,0),""))</f>
        <v/>
      </c>
      <c r="D348" s="93" t="n"/>
      <c r="E348" s="93" t="n"/>
      <c r="F348" s="93" t="n"/>
      <c r="G348" s="93" t="n"/>
      <c r="H348" s="93" t="n"/>
      <c r="I348" s="105">
        <f>IF($A348="","",SUM(D348:H348))</f>
        <v/>
      </c>
    </row>
    <row r="349" ht="15" customHeight="1" s="71">
      <c r="A349" s="87" t="n"/>
      <c r="B349" s="91" t="n"/>
      <c r="C349" s="89">
        <f>IF(OR($A349="",$B349=""),"",IFERROR(VLOOKUP($B349,Employés!$A:$B,2,0),""))</f>
        <v/>
      </c>
      <c r="D349" s="93" t="n"/>
      <c r="E349" s="93" t="n"/>
      <c r="F349" s="93" t="n"/>
      <c r="G349" s="93" t="n"/>
      <c r="H349" s="93" t="n"/>
      <c r="I349" s="105">
        <f>IF($A349="","",SUM(D349:H349))</f>
        <v/>
      </c>
    </row>
    <row r="350" ht="15" customHeight="1" s="71">
      <c r="A350" s="87" t="n"/>
      <c r="B350" s="91" t="n"/>
      <c r="C350" s="89">
        <f>IF(OR($A350="",$B350=""),"",IFERROR(VLOOKUP($B350,Employés!$A:$B,2,0),""))</f>
        <v/>
      </c>
      <c r="D350" s="93" t="n"/>
      <c r="E350" s="93" t="n"/>
      <c r="F350" s="93" t="n"/>
      <c r="G350" s="93" t="n"/>
      <c r="H350" s="93" t="n"/>
      <c r="I350" s="105">
        <f>IF($A350="","",SUM(D350:H350))</f>
        <v/>
      </c>
    </row>
    <row r="351" ht="15" customHeight="1" s="71">
      <c r="A351" s="87" t="n"/>
      <c r="B351" s="91" t="n"/>
      <c r="C351" s="89">
        <f>IF(OR($A351="",$B351=""),"",IFERROR(VLOOKUP($B351,Employés!$A:$B,2,0),""))</f>
        <v/>
      </c>
      <c r="D351" s="93" t="n"/>
      <c r="E351" s="93" t="n"/>
      <c r="F351" s="93" t="n"/>
      <c r="G351" s="93" t="n"/>
      <c r="H351" s="93" t="n"/>
      <c r="I351" s="105">
        <f>IF($A351="","",SUM(D351:H351))</f>
        <v/>
      </c>
    </row>
    <row r="352" ht="15" customHeight="1" s="71">
      <c r="A352" s="87" t="n"/>
      <c r="B352" s="91" t="n"/>
      <c r="C352" s="89">
        <f>IF(OR($A352="",$B352=""),"",IFERROR(VLOOKUP($B352,Employés!$A:$B,2,0),""))</f>
        <v/>
      </c>
      <c r="D352" s="93" t="n"/>
      <c r="E352" s="93" t="n"/>
      <c r="F352" s="93" t="n"/>
      <c r="G352" s="93" t="n"/>
      <c r="H352" s="93" t="n"/>
      <c r="I352" s="105">
        <f>IF($A352="","",SUM(D352:H352))</f>
        <v/>
      </c>
    </row>
    <row r="353" ht="15" customHeight="1" s="71">
      <c r="A353" s="87" t="n"/>
      <c r="B353" s="91" t="n"/>
      <c r="C353" s="89">
        <f>IF(OR($A353="",$B353=""),"",IFERROR(VLOOKUP($B353,Employés!$A:$B,2,0),""))</f>
        <v/>
      </c>
      <c r="D353" s="93" t="n"/>
      <c r="E353" s="93" t="n"/>
      <c r="F353" s="93" t="n"/>
      <c r="G353" s="93" t="n"/>
      <c r="H353" s="93" t="n"/>
      <c r="I353" s="105">
        <f>IF($A353="","",SUM(D353:H353))</f>
        <v/>
      </c>
    </row>
    <row r="354" ht="15" customHeight="1" s="71">
      <c r="A354" s="87" t="n"/>
      <c r="B354" s="91" t="n"/>
      <c r="C354" s="89">
        <f>IF(OR($A354="",$B354=""),"",IFERROR(VLOOKUP($B354,Employés!$A:$B,2,0),""))</f>
        <v/>
      </c>
      <c r="D354" s="93" t="n"/>
      <c r="E354" s="93" t="n"/>
      <c r="F354" s="93" t="n"/>
      <c r="G354" s="93" t="n"/>
      <c r="H354" s="93" t="n"/>
      <c r="I354" s="105">
        <f>IF($A354="","",SUM(D354:H354))</f>
        <v/>
      </c>
    </row>
    <row r="355" ht="15" customHeight="1" s="71">
      <c r="A355" s="87" t="n"/>
      <c r="B355" s="91" t="n"/>
      <c r="C355" s="89">
        <f>IF(OR($A355="",$B355=""),"",IFERROR(VLOOKUP($B355,Employés!$A:$B,2,0),""))</f>
        <v/>
      </c>
      <c r="D355" s="93" t="n"/>
      <c r="E355" s="93" t="n"/>
      <c r="F355" s="93" t="n"/>
      <c r="G355" s="93" t="n"/>
      <c r="H355" s="93" t="n"/>
      <c r="I355" s="105">
        <f>IF($A355="","",SUM(D355:H355))</f>
        <v/>
      </c>
    </row>
    <row r="356" ht="15" customHeight="1" s="71">
      <c r="A356" s="87" t="n"/>
      <c r="B356" s="91" t="n"/>
      <c r="C356" s="89">
        <f>IF(OR($A356="",$B356=""),"",IFERROR(VLOOKUP($B356,Employés!$A:$B,2,0),""))</f>
        <v/>
      </c>
      <c r="D356" s="93" t="n"/>
      <c r="E356" s="93" t="n"/>
      <c r="F356" s="93" t="n"/>
      <c r="G356" s="93" t="n"/>
      <c r="H356" s="93" t="n"/>
      <c r="I356" s="105">
        <f>IF($A356="","",SUM(D356:H356))</f>
        <v/>
      </c>
    </row>
    <row r="357" ht="15" customHeight="1" s="71">
      <c r="A357" s="87" t="n"/>
      <c r="B357" s="91" t="n"/>
      <c r="C357" s="89">
        <f>IF(OR($A357="",$B357=""),"",IFERROR(VLOOKUP($B357,Employés!$A:$B,2,0),""))</f>
        <v/>
      </c>
      <c r="D357" s="93" t="n"/>
      <c r="E357" s="93" t="n"/>
      <c r="F357" s="93" t="n"/>
      <c r="G357" s="93" t="n"/>
      <c r="H357" s="93" t="n"/>
      <c r="I357" s="105">
        <f>IF($A357="","",SUM(D357:H357))</f>
        <v/>
      </c>
    </row>
    <row r="358" ht="15" customHeight="1" s="71">
      <c r="A358" s="87" t="n"/>
      <c r="B358" s="91" t="n"/>
      <c r="C358" s="89">
        <f>IF(OR($A358="",$B358=""),"",IFERROR(VLOOKUP($B358,Employés!$A:$B,2,0),""))</f>
        <v/>
      </c>
      <c r="D358" s="93" t="n"/>
      <c r="E358" s="93" t="n"/>
      <c r="F358" s="93" t="n"/>
      <c r="G358" s="93" t="n"/>
      <c r="H358" s="93" t="n"/>
      <c r="I358" s="105">
        <f>IF($A358="","",SUM(D358:H358))</f>
        <v/>
      </c>
    </row>
    <row r="359" ht="15" customHeight="1" s="71">
      <c r="A359" s="87" t="n"/>
      <c r="B359" s="91" t="n"/>
      <c r="C359" s="89">
        <f>IF(OR($A359="",$B359=""),"",IFERROR(VLOOKUP($B359,Employés!$A:$B,2,0),""))</f>
        <v/>
      </c>
      <c r="D359" s="93" t="n"/>
      <c r="E359" s="93" t="n"/>
      <c r="F359" s="93" t="n"/>
      <c r="G359" s="93" t="n"/>
      <c r="H359" s="93" t="n"/>
      <c r="I359" s="105">
        <f>IF($A359="","",SUM(D359:H359))</f>
        <v/>
      </c>
    </row>
    <row r="360" ht="15" customHeight="1" s="71">
      <c r="A360" s="87" t="n"/>
      <c r="B360" s="91" t="n"/>
      <c r="C360" s="89">
        <f>IF(OR($A360="",$B360=""),"",IFERROR(VLOOKUP($B360,Employés!$A:$B,2,0),""))</f>
        <v/>
      </c>
      <c r="D360" s="93" t="n"/>
      <c r="E360" s="93" t="n"/>
      <c r="F360" s="93" t="n"/>
      <c r="G360" s="93" t="n"/>
      <c r="H360" s="93" t="n"/>
      <c r="I360" s="105">
        <f>IF($A360="","",SUM(D360:H360))</f>
        <v/>
      </c>
    </row>
    <row r="361" ht="15" customHeight="1" s="71">
      <c r="A361" s="87" t="n"/>
      <c r="B361" s="91" t="n"/>
      <c r="C361" s="89">
        <f>IF(OR($A361="",$B361=""),"",IFERROR(VLOOKUP($B361,Employés!$A:$B,2,0),""))</f>
        <v/>
      </c>
      <c r="D361" s="93" t="n"/>
      <c r="E361" s="93" t="n"/>
      <c r="F361" s="93" t="n"/>
      <c r="G361" s="93" t="n"/>
      <c r="H361" s="93" t="n"/>
      <c r="I361" s="105">
        <f>IF($A361="","",SUM(D361:H361))</f>
        <v/>
      </c>
    </row>
    <row r="362" ht="15" customHeight="1" s="71">
      <c r="A362" s="87" t="n"/>
      <c r="B362" s="91" t="n"/>
      <c r="C362" s="89">
        <f>IF(OR($A362="",$B362=""),"",IFERROR(VLOOKUP($B362,Employés!$A:$B,2,0),""))</f>
        <v/>
      </c>
      <c r="D362" s="93" t="n"/>
      <c r="E362" s="93" t="n"/>
      <c r="F362" s="93" t="n"/>
      <c r="G362" s="93" t="n"/>
      <c r="H362" s="93" t="n"/>
      <c r="I362" s="105">
        <f>IF($A362="","",SUM(D362:H362))</f>
        <v/>
      </c>
    </row>
    <row r="363" ht="15" customHeight="1" s="71">
      <c r="A363" s="87" t="n"/>
      <c r="B363" s="91" t="n"/>
      <c r="C363" s="89">
        <f>IF(OR($A363="",$B363=""),"",IFERROR(VLOOKUP($B363,Employés!$A:$B,2,0),""))</f>
        <v/>
      </c>
      <c r="D363" s="93" t="n"/>
      <c r="E363" s="93" t="n"/>
      <c r="F363" s="93" t="n"/>
      <c r="G363" s="93" t="n"/>
      <c r="H363" s="93" t="n"/>
      <c r="I363" s="105">
        <f>IF($A363="","",SUM(D363:H363))</f>
        <v/>
      </c>
    </row>
    <row r="364" ht="15" customHeight="1" s="71">
      <c r="A364" s="87" t="n"/>
      <c r="B364" s="91" t="n"/>
      <c r="C364" s="89">
        <f>IF(OR($A364="",$B364=""),"",IFERROR(VLOOKUP($B364,Employés!$A:$B,2,0),""))</f>
        <v/>
      </c>
      <c r="D364" s="93" t="n"/>
      <c r="E364" s="93" t="n"/>
      <c r="F364" s="93" t="n"/>
      <c r="G364" s="93" t="n"/>
      <c r="H364" s="93" t="n"/>
      <c r="I364" s="105">
        <f>IF($A364="","",SUM(D364:H364))</f>
        <v/>
      </c>
    </row>
    <row r="365" ht="15" customHeight="1" s="71">
      <c r="A365" s="87" t="n"/>
      <c r="B365" s="91" t="n"/>
      <c r="C365" s="89">
        <f>IF(OR($A365="",$B365=""),"",IFERROR(VLOOKUP($B365,Employés!$A:$B,2,0),""))</f>
        <v/>
      </c>
      <c r="D365" s="93" t="n"/>
      <c r="E365" s="93" t="n"/>
      <c r="F365" s="93" t="n"/>
      <c r="G365" s="93" t="n"/>
      <c r="H365" s="93" t="n"/>
      <c r="I365" s="105">
        <f>IF($A365="","",SUM(D365:H365))</f>
        <v/>
      </c>
    </row>
    <row r="366" ht="15" customHeight="1" s="71">
      <c r="A366" s="87" t="n"/>
      <c r="B366" s="91" t="n"/>
      <c r="C366" s="89">
        <f>IF(OR($A366="",$B366=""),"",IFERROR(VLOOKUP($B366,Employés!$A:$B,2,0),""))</f>
        <v/>
      </c>
      <c r="D366" s="93" t="n"/>
      <c r="E366" s="93" t="n"/>
      <c r="F366" s="93" t="n"/>
      <c r="G366" s="93" t="n"/>
      <c r="H366" s="93" t="n"/>
      <c r="I366" s="105">
        <f>IF($A366="","",SUM(D366:H366))</f>
        <v/>
      </c>
    </row>
    <row r="367" ht="15" customHeight="1" s="71">
      <c r="A367" s="87" t="n"/>
      <c r="B367" s="91" t="n"/>
      <c r="C367" s="89">
        <f>IF(OR($A367="",$B367=""),"",IFERROR(VLOOKUP($B367,Employés!$A:$B,2,0),""))</f>
        <v/>
      </c>
      <c r="D367" s="93" t="n"/>
      <c r="E367" s="93" t="n"/>
      <c r="F367" s="93" t="n"/>
      <c r="G367" s="93" t="n"/>
      <c r="H367" s="93" t="n"/>
      <c r="I367" s="105">
        <f>IF($A367="","",SUM(D367:H367))</f>
        <v/>
      </c>
    </row>
    <row r="368" ht="15" customHeight="1" s="71">
      <c r="A368" s="87" t="n"/>
      <c r="B368" s="91" t="n"/>
      <c r="C368" s="89">
        <f>IF(OR($A368="",$B368=""),"",IFERROR(VLOOKUP($B368,Employés!$A:$B,2,0),""))</f>
        <v/>
      </c>
      <c r="D368" s="93" t="n"/>
      <c r="E368" s="93" t="n"/>
      <c r="F368" s="93" t="n"/>
      <c r="G368" s="93" t="n"/>
      <c r="H368" s="93" t="n"/>
      <c r="I368" s="105">
        <f>IF($A368="","",SUM(D368:H368))</f>
        <v/>
      </c>
    </row>
    <row r="369" ht="15" customHeight="1" s="71">
      <c r="A369" s="87" t="n"/>
      <c r="B369" s="91" t="n"/>
      <c r="C369" s="89">
        <f>IF(OR($A369="",$B369=""),"",IFERROR(VLOOKUP($B369,Employés!$A:$B,2,0),""))</f>
        <v/>
      </c>
      <c r="D369" s="93" t="n"/>
      <c r="E369" s="93" t="n"/>
      <c r="F369" s="93" t="n"/>
      <c r="G369" s="93" t="n"/>
      <c r="H369" s="93" t="n"/>
      <c r="I369" s="105">
        <f>IF($A369="","",SUM(D369:H369))</f>
        <v/>
      </c>
    </row>
    <row r="370" ht="15" customHeight="1" s="71">
      <c r="A370" s="87" t="n"/>
      <c r="B370" s="91" t="n"/>
      <c r="C370" s="89">
        <f>IF(OR($A370="",$B370=""),"",IFERROR(VLOOKUP($B370,Employés!$A:$B,2,0),""))</f>
        <v/>
      </c>
      <c r="D370" s="93" t="n"/>
      <c r="E370" s="93" t="n"/>
      <c r="F370" s="93" t="n"/>
      <c r="G370" s="93" t="n"/>
      <c r="H370" s="93" t="n"/>
      <c r="I370" s="105">
        <f>IF($A370="","",SUM(D370:H370))</f>
        <v/>
      </c>
    </row>
    <row r="371" ht="15" customHeight="1" s="71">
      <c r="A371" s="87" t="n"/>
      <c r="B371" s="91" t="n"/>
      <c r="C371" s="89">
        <f>IF(OR($A371="",$B371=""),"",IFERROR(VLOOKUP($B371,Employés!$A:$B,2,0),""))</f>
        <v/>
      </c>
      <c r="D371" s="93" t="n"/>
      <c r="E371" s="93" t="n"/>
      <c r="F371" s="93" t="n"/>
      <c r="G371" s="93" t="n"/>
      <c r="H371" s="93" t="n"/>
      <c r="I371" s="105">
        <f>IF($A371="","",SUM(D371:H371))</f>
        <v/>
      </c>
    </row>
    <row r="372" ht="15" customHeight="1" s="71">
      <c r="A372" s="87" t="n"/>
      <c r="B372" s="91" t="n"/>
      <c r="C372" s="89">
        <f>IF(OR($A372="",$B372=""),"",IFERROR(VLOOKUP($B372,Employés!$A:$B,2,0),""))</f>
        <v/>
      </c>
      <c r="D372" s="93" t="n"/>
      <c r="E372" s="93" t="n"/>
      <c r="F372" s="93" t="n"/>
      <c r="G372" s="93" t="n"/>
      <c r="H372" s="93" t="n"/>
      <c r="I372" s="105">
        <f>IF($A372="","",SUM(D372:H372))</f>
        <v/>
      </c>
    </row>
    <row r="373" ht="15" customHeight="1" s="71">
      <c r="A373" s="87" t="n"/>
      <c r="B373" s="91" t="n"/>
      <c r="C373" s="89">
        <f>IF(OR($A373="",$B373=""),"",IFERROR(VLOOKUP($B373,Employés!$A:$B,2,0),""))</f>
        <v/>
      </c>
      <c r="D373" s="93" t="n"/>
      <c r="E373" s="93" t="n"/>
      <c r="F373" s="93" t="n"/>
      <c r="G373" s="93" t="n"/>
      <c r="H373" s="93" t="n"/>
      <c r="I373" s="105">
        <f>IF($A373="","",SUM(D373:H373))</f>
        <v/>
      </c>
    </row>
    <row r="374" ht="15" customHeight="1" s="71">
      <c r="A374" s="87" t="n"/>
      <c r="B374" s="91" t="n"/>
      <c r="C374" s="89">
        <f>IF(OR($A374="",$B374=""),"",IFERROR(VLOOKUP($B374,Employés!$A:$B,2,0),""))</f>
        <v/>
      </c>
      <c r="D374" s="93" t="n"/>
      <c r="E374" s="93" t="n"/>
      <c r="F374" s="93" t="n"/>
      <c r="G374" s="93" t="n"/>
      <c r="H374" s="93" t="n"/>
      <c r="I374" s="105">
        <f>IF($A374="","",SUM(D374:H374))</f>
        <v/>
      </c>
    </row>
    <row r="375" ht="15" customHeight="1" s="71">
      <c r="A375" s="87" t="n"/>
      <c r="B375" s="91" t="n"/>
      <c r="C375" s="89">
        <f>IF(OR($A375="",$B375=""),"",IFERROR(VLOOKUP($B375,Employés!$A:$B,2,0),""))</f>
        <v/>
      </c>
      <c r="D375" s="93" t="n"/>
      <c r="E375" s="93" t="n"/>
      <c r="F375" s="93" t="n"/>
      <c r="G375" s="93" t="n"/>
      <c r="H375" s="93" t="n"/>
      <c r="I375" s="105">
        <f>IF($A375="","",SUM(D375:H375))</f>
        <v/>
      </c>
    </row>
    <row r="376" ht="15" customHeight="1" s="71">
      <c r="A376" s="87" t="n"/>
      <c r="B376" s="91" t="n"/>
      <c r="C376" s="89">
        <f>IF(OR($A376="",$B376=""),"",IFERROR(VLOOKUP($B376,Employés!$A:$B,2,0),""))</f>
        <v/>
      </c>
      <c r="D376" s="93" t="n"/>
      <c r="E376" s="93" t="n"/>
      <c r="F376" s="93" t="n"/>
      <c r="G376" s="93" t="n"/>
      <c r="H376" s="93" t="n"/>
      <c r="I376" s="105">
        <f>IF($A376="","",SUM(D376:H376))</f>
        <v/>
      </c>
    </row>
    <row r="377" ht="15" customHeight="1" s="71">
      <c r="A377" s="87" t="n"/>
      <c r="B377" s="91" t="n"/>
      <c r="C377" s="89">
        <f>IF(OR($A377="",$B377=""),"",IFERROR(VLOOKUP($B377,Employés!$A:$B,2,0),""))</f>
        <v/>
      </c>
      <c r="D377" s="93" t="n"/>
      <c r="E377" s="93" t="n"/>
      <c r="F377" s="93" t="n"/>
      <c r="G377" s="93" t="n"/>
      <c r="H377" s="93" t="n"/>
      <c r="I377" s="105">
        <f>IF($A377="","",SUM(D377:H377))</f>
        <v/>
      </c>
    </row>
    <row r="378" ht="15" customHeight="1" s="71">
      <c r="A378" s="87" t="n"/>
      <c r="B378" s="91" t="n"/>
      <c r="C378" s="89">
        <f>IF(OR($A378="",$B378=""),"",IFERROR(VLOOKUP($B378,Employés!$A:$B,2,0),""))</f>
        <v/>
      </c>
      <c r="D378" s="93" t="n"/>
      <c r="E378" s="93" t="n"/>
      <c r="F378" s="93" t="n"/>
      <c r="G378" s="93" t="n"/>
      <c r="H378" s="93" t="n"/>
      <c r="I378" s="105">
        <f>IF($A378="","",SUM(D378:H378))</f>
        <v/>
      </c>
    </row>
    <row r="379" ht="15" customHeight="1" s="71">
      <c r="A379" s="87" t="n"/>
      <c r="B379" s="91" t="n"/>
      <c r="C379" s="89">
        <f>IF(OR($A379="",$B379=""),"",IFERROR(VLOOKUP($B379,Employés!$A:$B,2,0),""))</f>
        <v/>
      </c>
      <c r="D379" s="93" t="n"/>
      <c r="E379" s="93" t="n"/>
      <c r="F379" s="93" t="n"/>
      <c r="G379" s="93" t="n"/>
      <c r="H379" s="93" t="n"/>
      <c r="I379" s="105">
        <f>IF($A379="","",SUM(D379:H379))</f>
        <v/>
      </c>
    </row>
    <row r="380" ht="15" customHeight="1" s="71">
      <c r="A380" s="87" t="n"/>
      <c r="B380" s="91" t="n"/>
      <c r="C380" s="89">
        <f>IF(OR($A380="",$B380=""),"",IFERROR(VLOOKUP($B380,Employés!$A:$B,2,0),""))</f>
        <v/>
      </c>
      <c r="D380" s="93" t="n"/>
      <c r="E380" s="93" t="n"/>
      <c r="F380" s="93" t="n"/>
      <c r="G380" s="93" t="n"/>
      <c r="H380" s="93" t="n"/>
      <c r="I380" s="105">
        <f>IF($A380="","",SUM(D380:H380))</f>
        <v/>
      </c>
    </row>
    <row r="381" ht="15" customHeight="1" s="71">
      <c r="A381" s="87" t="n"/>
      <c r="B381" s="91" t="n"/>
      <c r="C381" s="89">
        <f>IF(OR($A381="",$B381=""),"",IFERROR(VLOOKUP($B381,Employés!$A:$B,2,0),""))</f>
        <v/>
      </c>
      <c r="D381" s="93" t="n"/>
      <c r="E381" s="93" t="n"/>
      <c r="F381" s="93" t="n"/>
      <c r="G381" s="93" t="n"/>
      <c r="H381" s="93" t="n"/>
      <c r="I381" s="105">
        <f>IF($A381="","",SUM(D381:H381))</f>
        <v/>
      </c>
    </row>
    <row r="382" ht="15" customHeight="1" s="71">
      <c r="A382" s="87" t="n"/>
      <c r="B382" s="91" t="n"/>
      <c r="C382" s="89">
        <f>IF(OR($A382="",$B382=""),"",IFERROR(VLOOKUP($B382,Employés!$A:$B,2,0),""))</f>
        <v/>
      </c>
      <c r="D382" s="93" t="n"/>
      <c r="E382" s="93" t="n"/>
      <c r="F382" s="93" t="n"/>
      <c r="G382" s="93" t="n"/>
      <c r="H382" s="93" t="n"/>
      <c r="I382" s="105">
        <f>IF($A382="","",SUM(D382:H382))</f>
        <v/>
      </c>
    </row>
    <row r="383" ht="15" customHeight="1" s="71">
      <c r="A383" s="87" t="n"/>
      <c r="B383" s="91" t="n"/>
      <c r="C383" s="89">
        <f>IF(OR($A383="",$B383=""),"",IFERROR(VLOOKUP($B383,Employés!$A:$B,2,0),""))</f>
        <v/>
      </c>
      <c r="D383" s="93" t="n"/>
      <c r="E383" s="93" t="n"/>
      <c r="F383" s="93" t="n"/>
      <c r="G383" s="93" t="n"/>
      <c r="H383" s="93" t="n"/>
      <c r="I383" s="105">
        <f>IF($A383="","",SUM(D383:H383))</f>
        <v/>
      </c>
    </row>
    <row r="384" ht="15" customHeight="1" s="71">
      <c r="A384" s="87" t="n"/>
      <c r="B384" s="91" t="n"/>
      <c r="C384" s="89">
        <f>IF(OR($A384="",$B384=""),"",IFERROR(VLOOKUP($B384,Employés!$A:$B,2,0),""))</f>
        <v/>
      </c>
      <c r="D384" s="93" t="n"/>
      <c r="E384" s="93" t="n"/>
      <c r="F384" s="93" t="n"/>
      <c r="G384" s="93" t="n"/>
      <c r="H384" s="93" t="n"/>
      <c r="I384" s="105">
        <f>IF($A384="","",SUM(D384:H384))</f>
        <v/>
      </c>
    </row>
    <row r="385" ht="15" customHeight="1" s="71">
      <c r="A385" s="87" t="n"/>
      <c r="B385" s="91" t="n"/>
      <c r="C385" s="89">
        <f>IF(OR($A385="",$B385=""),"",IFERROR(VLOOKUP($B385,Employés!$A:$B,2,0),""))</f>
        <v/>
      </c>
      <c r="D385" s="93" t="n"/>
      <c r="E385" s="93" t="n"/>
      <c r="F385" s="93" t="n"/>
      <c r="G385" s="93" t="n"/>
      <c r="H385" s="93" t="n"/>
      <c r="I385" s="105">
        <f>IF($A385="","",SUM(D385:H385))</f>
        <v/>
      </c>
    </row>
    <row r="386" ht="15" customHeight="1" s="71">
      <c r="A386" s="87" t="n"/>
      <c r="B386" s="91" t="n"/>
      <c r="C386" s="89">
        <f>IF(OR($A386="",$B386=""),"",IFERROR(VLOOKUP($B386,Employés!$A:$B,2,0),""))</f>
        <v/>
      </c>
      <c r="D386" s="93" t="n"/>
      <c r="E386" s="93" t="n"/>
      <c r="F386" s="93" t="n"/>
      <c r="G386" s="93" t="n"/>
      <c r="H386" s="93" t="n"/>
      <c r="I386" s="105">
        <f>IF($A386="","",SUM(D386:H386))</f>
        <v/>
      </c>
    </row>
    <row r="387" ht="15" customHeight="1" s="71">
      <c r="A387" s="87" t="n"/>
      <c r="B387" s="91" t="n"/>
      <c r="C387" s="89">
        <f>IF(OR($A387="",$B387=""),"",IFERROR(VLOOKUP($B387,Employés!$A:$B,2,0),""))</f>
        <v/>
      </c>
      <c r="D387" s="93" t="n"/>
      <c r="E387" s="93" t="n"/>
      <c r="F387" s="93" t="n"/>
      <c r="G387" s="93" t="n"/>
      <c r="H387" s="93" t="n"/>
      <c r="I387" s="105">
        <f>IF($A387="","",SUM(D387:H387))</f>
        <v/>
      </c>
    </row>
    <row r="388" ht="15" customHeight="1" s="71">
      <c r="A388" s="87" t="n"/>
      <c r="B388" s="91" t="n"/>
      <c r="C388" s="89">
        <f>IF(OR($A388="",$B388=""),"",IFERROR(VLOOKUP($B388,Employés!$A:$B,2,0),""))</f>
        <v/>
      </c>
      <c r="D388" s="93" t="n"/>
      <c r="E388" s="93" t="n"/>
      <c r="F388" s="93" t="n"/>
      <c r="G388" s="93" t="n"/>
      <c r="H388" s="93" t="n"/>
      <c r="I388" s="105">
        <f>IF($A388="","",SUM(D388:H388))</f>
        <v/>
      </c>
    </row>
    <row r="389" ht="15" customHeight="1" s="71">
      <c r="A389" s="87" t="n"/>
      <c r="B389" s="91" t="n"/>
      <c r="C389" s="89">
        <f>IF(OR($A389="",$B389=""),"",IFERROR(VLOOKUP($B389,Employés!$A:$B,2,0),""))</f>
        <v/>
      </c>
      <c r="D389" s="93" t="n"/>
      <c r="E389" s="93" t="n"/>
      <c r="F389" s="93" t="n"/>
      <c r="G389" s="93" t="n"/>
      <c r="H389" s="93" t="n"/>
      <c r="I389" s="105">
        <f>IF($A389="","",SUM(D389:H389))</f>
        <v/>
      </c>
    </row>
    <row r="390" ht="15" customHeight="1" s="71">
      <c r="A390" s="87" t="n"/>
      <c r="B390" s="91" t="n"/>
      <c r="C390" s="89">
        <f>IF(OR($A390="",$B390=""),"",IFERROR(VLOOKUP($B390,Employés!$A:$B,2,0),""))</f>
        <v/>
      </c>
      <c r="D390" s="93" t="n"/>
      <c r="E390" s="93" t="n"/>
      <c r="F390" s="93" t="n"/>
      <c r="G390" s="93" t="n"/>
      <c r="H390" s="93" t="n"/>
      <c r="I390" s="105">
        <f>IF($A390="","",SUM(D390:H390))</f>
        <v/>
      </c>
    </row>
    <row r="391" ht="15" customHeight="1" s="71">
      <c r="A391" s="87" t="n"/>
      <c r="B391" s="91" t="n"/>
      <c r="C391" s="89">
        <f>IF(OR($A391="",$B391=""),"",IFERROR(VLOOKUP($B391,Employés!$A:$B,2,0),""))</f>
        <v/>
      </c>
      <c r="D391" s="93" t="n"/>
      <c r="E391" s="93" t="n"/>
      <c r="F391" s="93" t="n"/>
      <c r="G391" s="93" t="n"/>
      <c r="H391" s="93" t="n"/>
      <c r="I391" s="105">
        <f>IF($A391="","",SUM(D391:H391))</f>
        <v/>
      </c>
    </row>
    <row r="392" ht="15" customHeight="1" s="71">
      <c r="A392" s="87" t="n"/>
      <c r="B392" s="91" t="n"/>
      <c r="C392" s="89">
        <f>IF(OR($A392="",$B392=""),"",IFERROR(VLOOKUP($B392,Employés!$A:$B,2,0),""))</f>
        <v/>
      </c>
      <c r="D392" s="93" t="n"/>
      <c r="E392" s="93" t="n"/>
      <c r="F392" s="93" t="n"/>
      <c r="G392" s="93" t="n"/>
      <c r="H392" s="93" t="n"/>
      <c r="I392" s="105">
        <f>IF($A392="","",SUM(D392:H392))</f>
        <v/>
      </c>
    </row>
    <row r="393" ht="15" customHeight="1" s="71">
      <c r="A393" s="87" t="n"/>
      <c r="B393" s="91" t="n"/>
      <c r="C393" s="89">
        <f>IF(OR($A393="",$B393=""),"",IFERROR(VLOOKUP($B393,Employés!$A:$B,2,0),""))</f>
        <v/>
      </c>
      <c r="D393" s="93" t="n"/>
      <c r="E393" s="93" t="n"/>
      <c r="F393" s="93" t="n"/>
      <c r="G393" s="93" t="n"/>
      <c r="H393" s="93" t="n"/>
      <c r="I393" s="105">
        <f>IF($A393="","",SUM(D393:H393))</f>
        <v/>
      </c>
    </row>
    <row r="394" ht="15" customHeight="1" s="71">
      <c r="A394" s="87" t="n"/>
      <c r="B394" s="91" t="n"/>
      <c r="C394" s="89">
        <f>IF(OR($A394="",$B394=""),"",IFERROR(VLOOKUP($B394,Employés!$A:$B,2,0),""))</f>
        <v/>
      </c>
      <c r="D394" s="93" t="n"/>
      <c r="E394" s="93" t="n"/>
      <c r="F394" s="93" t="n"/>
      <c r="G394" s="93" t="n"/>
      <c r="H394" s="93" t="n"/>
      <c r="I394" s="105">
        <f>IF($A394="","",SUM(D394:H394))</f>
        <v/>
      </c>
    </row>
    <row r="395" ht="15" customHeight="1" s="71">
      <c r="A395" s="87" t="n"/>
      <c r="B395" s="91" t="n"/>
      <c r="C395" s="89">
        <f>IF(OR($A395="",$B395=""),"",IFERROR(VLOOKUP($B395,Employés!$A:$B,2,0),""))</f>
        <v/>
      </c>
      <c r="D395" s="93" t="n"/>
      <c r="E395" s="93" t="n"/>
      <c r="F395" s="93" t="n"/>
      <c r="G395" s="93" t="n"/>
      <c r="H395" s="93" t="n"/>
      <c r="I395" s="105">
        <f>IF($A395="","",SUM(D395:H395))</f>
        <v/>
      </c>
    </row>
    <row r="396" ht="15" customHeight="1" s="71">
      <c r="A396" s="87" t="n"/>
      <c r="B396" s="91" t="n"/>
      <c r="C396" s="89">
        <f>IF(OR($A396="",$B396=""),"",IFERROR(VLOOKUP($B396,Employés!$A:$B,2,0),""))</f>
        <v/>
      </c>
      <c r="D396" s="93" t="n"/>
      <c r="E396" s="93" t="n"/>
      <c r="F396" s="93" t="n"/>
      <c r="G396" s="93" t="n"/>
      <c r="H396" s="93" t="n"/>
      <c r="I396" s="105">
        <f>IF($A396="","",SUM(D396:H396))</f>
        <v/>
      </c>
    </row>
    <row r="397" ht="15" customHeight="1" s="71">
      <c r="A397" s="87" t="n"/>
      <c r="B397" s="91" t="n"/>
      <c r="C397" s="89">
        <f>IF(OR($A397="",$B397=""),"",IFERROR(VLOOKUP($B397,Employés!$A:$B,2,0),""))</f>
        <v/>
      </c>
      <c r="D397" s="93" t="n"/>
      <c r="E397" s="93" t="n"/>
      <c r="F397" s="93" t="n"/>
      <c r="G397" s="93" t="n"/>
      <c r="H397" s="93" t="n"/>
      <c r="I397" s="105">
        <f>IF($A397="","",SUM(D397:H397))</f>
        <v/>
      </c>
    </row>
    <row r="398" ht="15" customHeight="1" s="71">
      <c r="A398" s="87" t="n"/>
      <c r="B398" s="91" t="n"/>
      <c r="C398" s="89">
        <f>IF(OR($A398="",$B398=""),"",IFERROR(VLOOKUP($B398,Employés!$A:$B,2,0),""))</f>
        <v/>
      </c>
      <c r="D398" s="93" t="n"/>
      <c r="E398" s="93" t="n"/>
      <c r="F398" s="93" t="n"/>
      <c r="G398" s="93" t="n"/>
      <c r="H398" s="93" t="n"/>
      <c r="I398" s="105">
        <f>IF($A398="","",SUM(D398:H398))</f>
        <v/>
      </c>
    </row>
    <row r="399" ht="15" customHeight="1" s="71">
      <c r="A399" s="87" t="n"/>
      <c r="B399" s="91" t="n"/>
      <c r="C399" s="89">
        <f>IF(OR($A399="",$B399=""),"",IFERROR(VLOOKUP($B399,Employés!$A:$B,2,0),""))</f>
        <v/>
      </c>
      <c r="D399" s="93" t="n"/>
      <c r="E399" s="93" t="n"/>
      <c r="F399" s="93" t="n"/>
      <c r="G399" s="93" t="n"/>
      <c r="H399" s="93" t="n"/>
      <c r="I399" s="105">
        <f>IF($A399="","",SUM(D399:H399))</f>
        <v/>
      </c>
    </row>
    <row r="400" ht="15" customHeight="1" s="71">
      <c r="A400" s="87" t="n"/>
      <c r="B400" s="91" t="n"/>
      <c r="C400" s="89">
        <f>IF(OR($A400="",$B400=""),"",IFERROR(VLOOKUP($B400,Employés!$A:$B,2,0),""))</f>
        <v/>
      </c>
      <c r="D400" s="93" t="n"/>
      <c r="E400" s="93" t="n"/>
      <c r="F400" s="93" t="n"/>
      <c r="G400" s="93" t="n"/>
      <c r="H400" s="93" t="n"/>
      <c r="I400" s="105">
        <f>IF($A400="","",SUM(D400:H400))</f>
        <v/>
      </c>
    </row>
    <row r="401" ht="15" customHeight="1" s="71">
      <c r="A401" s="87" t="n"/>
      <c r="B401" s="91" t="n"/>
      <c r="C401" s="89">
        <f>IF(OR($A401="",$B401=""),"",IFERROR(VLOOKUP($B401,Employés!$A:$B,2,0),""))</f>
        <v/>
      </c>
      <c r="D401" s="93" t="n"/>
      <c r="E401" s="93" t="n"/>
      <c r="F401" s="93" t="n"/>
      <c r="G401" s="93" t="n"/>
      <c r="H401" s="93" t="n"/>
      <c r="I401" s="105">
        <f>IF($A401="","",SUM(D401:H401))</f>
        <v/>
      </c>
    </row>
    <row r="402" ht="15" customHeight="1" s="71">
      <c r="A402" s="87" t="n"/>
      <c r="B402" s="91" t="n"/>
      <c r="C402" s="89">
        <f>IF(OR($A402="",$B402=""),"",IFERROR(VLOOKUP($B402,Employés!$A:$B,2,0),""))</f>
        <v/>
      </c>
      <c r="D402" s="93" t="n"/>
      <c r="E402" s="93" t="n"/>
      <c r="F402" s="93" t="n"/>
      <c r="G402" s="93" t="n"/>
      <c r="H402" s="93" t="n"/>
      <c r="I402" s="105">
        <f>IF($A402="","",SUM(D402:H402))</f>
        <v/>
      </c>
    </row>
    <row r="403" ht="15" customHeight="1" s="71">
      <c r="A403" s="87" t="n"/>
      <c r="B403" s="91" t="n"/>
      <c r="C403" s="89">
        <f>IF(OR($A403="",$B403=""),"",IFERROR(VLOOKUP($B403,Employés!$A:$B,2,0),""))</f>
        <v/>
      </c>
      <c r="D403" s="93" t="n"/>
      <c r="E403" s="93" t="n"/>
      <c r="F403" s="93" t="n"/>
      <c r="G403" s="93" t="n"/>
      <c r="H403" s="93" t="n"/>
      <c r="I403" s="105">
        <f>IF($A403="","",SUM(D403:H403))</f>
        <v/>
      </c>
    </row>
    <row r="404" ht="15" customHeight="1" s="71">
      <c r="A404" s="87" t="n"/>
      <c r="B404" s="91" t="n"/>
      <c r="C404" s="89">
        <f>IF(OR($A404="",$B404=""),"",IFERROR(VLOOKUP($B404,Employés!$A:$B,2,0),""))</f>
        <v/>
      </c>
      <c r="D404" s="93" t="n"/>
      <c r="E404" s="93" t="n"/>
      <c r="F404" s="93" t="n"/>
      <c r="G404" s="93" t="n"/>
      <c r="H404" s="93" t="n"/>
      <c r="I404" s="105">
        <f>IF($A404="","",SUM(D404:H404))</f>
        <v/>
      </c>
    </row>
    <row r="405" ht="15" customHeight="1" s="71">
      <c r="A405" s="87" t="n"/>
      <c r="B405" s="91" t="n"/>
      <c r="C405" s="89">
        <f>IF(OR($A405="",$B405=""),"",IFERROR(VLOOKUP($B405,Employés!$A:$B,2,0),""))</f>
        <v/>
      </c>
      <c r="D405" s="93" t="n"/>
      <c r="E405" s="93" t="n"/>
      <c r="F405" s="93" t="n"/>
      <c r="G405" s="93" t="n"/>
      <c r="H405" s="93" t="n"/>
      <c r="I405" s="105">
        <f>IF($A405="","",SUM(D405:H405))</f>
        <v/>
      </c>
    </row>
    <row r="406" ht="15" customHeight="1" s="71">
      <c r="A406" s="87" t="n"/>
      <c r="B406" s="91" t="n"/>
      <c r="C406" s="89">
        <f>IF(OR($A406="",$B406=""),"",IFERROR(VLOOKUP($B406,Employés!$A:$B,2,0),""))</f>
        <v/>
      </c>
      <c r="D406" s="93" t="n"/>
      <c r="E406" s="93" t="n"/>
      <c r="F406" s="93" t="n"/>
      <c r="G406" s="93" t="n"/>
      <c r="H406" s="93" t="n"/>
      <c r="I406" s="105">
        <f>IF($A406="","",SUM(D406:H406))</f>
        <v/>
      </c>
    </row>
    <row r="407" ht="15" customHeight="1" s="71">
      <c r="A407" s="87" t="n"/>
      <c r="B407" s="91" t="n"/>
      <c r="C407" s="89">
        <f>IF(OR($A407="",$B407=""),"",IFERROR(VLOOKUP($B407,Employés!$A:$B,2,0),""))</f>
        <v/>
      </c>
      <c r="D407" s="93" t="n"/>
      <c r="E407" s="93" t="n"/>
      <c r="F407" s="93" t="n"/>
      <c r="G407" s="93" t="n"/>
      <c r="H407" s="93" t="n"/>
      <c r="I407" s="105">
        <f>IF($A407="","",SUM(D407:H407))</f>
        <v/>
      </c>
    </row>
    <row r="408" ht="15" customHeight="1" s="71">
      <c r="A408" s="87" t="n"/>
      <c r="B408" s="91" t="n"/>
      <c r="C408" s="89">
        <f>IF(OR($A408="",$B408=""),"",IFERROR(VLOOKUP($B408,Employés!$A:$B,2,0),""))</f>
        <v/>
      </c>
      <c r="D408" s="93" t="n"/>
      <c r="E408" s="93" t="n"/>
      <c r="F408" s="93" t="n"/>
      <c r="G408" s="93" t="n"/>
      <c r="H408" s="93" t="n"/>
      <c r="I408" s="105">
        <f>IF($A408="","",SUM(D408:H408))</f>
        <v/>
      </c>
    </row>
    <row r="409" ht="15" customHeight="1" s="71">
      <c r="A409" s="87" t="n"/>
      <c r="B409" s="91" t="n"/>
      <c r="C409" s="89">
        <f>IF(OR($A409="",$B409=""),"",IFERROR(VLOOKUP($B409,Employés!$A:$B,2,0),""))</f>
        <v/>
      </c>
      <c r="D409" s="93" t="n"/>
      <c r="E409" s="93" t="n"/>
      <c r="F409" s="93" t="n"/>
      <c r="G409" s="93" t="n"/>
      <c r="H409" s="93" t="n"/>
      <c r="I409" s="105">
        <f>IF($A409="","",SUM(D409:H409))</f>
        <v/>
      </c>
    </row>
    <row r="410" ht="15" customHeight="1" s="71">
      <c r="A410" s="87" t="n"/>
      <c r="B410" s="91" t="n"/>
      <c r="C410" s="89">
        <f>IF(OR($A410="",$B410=""),"",IFERROR(VLOOKUP($B410,Employés!$A:$B,2,0),""))</f>
        <v/>
      </c>
      <c r="D410" s="93" t="n"/>
      <c r="E410" s="93" t="n"/>
      <c r="F410" s="93" t="n"/>
      <c r="G410" s="93" t="n"/>
      <c r="H410" s="93" t="n"/>
      <c r="I410" s="105">
        <f>IF($A410="","",SUM(D410:H410))</f>
        <v/>
      </c>
    </row>
    <row r="411" ht="15" customHeight="1" s="71">
      <c r="A411" s="87" t="n"/>
      <c r="B411" s="91" t="n"/>
      <c r="C411" s="89">
        <f>IF(OR($A411="",$B411=""),"",IFERROR(VLOOKUP($B411,Employés!$A:$B,2,0),""))</f>
        <v/>
      </c>
      <c r="D411" s="93" t="n"/>
      <c r="E411" s="93" t="n"/>
      <c r="F411" s="93" t="n"/>
      <c r="G411" s="93" t="n"/>
      <c r="H411" s="93" t="n"/>
      <c r="I411" s="105">
        <f>IF($A411="","",SUM(D411:H411))</f>
        <v/>
      </c>
    </row>
    <row r="412" ht="15" customHeight="1" s="71">
      <c r="A412" s="87" t="n"/>
      <c r="B412" s="91" t="n"/>
      <c r="C412" s="89">
        <f>IF(OR($A412="",$B412=""),"",IFERROR(VLOOKUP($B412,Employés!$A:$B,2,0),""))</f>
        <v/>
      </c>
      <c r="D412" s="93" t="n"/>
      <c r="E412" s="93" t="n"/>
      <c r="F412" s="93" t="n"/>
      <c r="G412" s="93" t="n"/>
      <c r="H412" s="93" t="n"/>
      <c r="I412" s="105">
        <f>IF($A412="","",SUM(D412:H412))</f>
        <v/>
      </c>
    </row>
    <row r="413" ht="15" customHeight="1" s="71">
      <c r="A413" s="87" t="n"/>
      <c r="B413" s="91" t="n"/>
      <c r="C413" s="89">
        <f>IF(OR($A413="",$B413=""),"",IFERROR(VLOOKUP($B413,Employés!$A:$B,2,0),""))</f>
        <v/>
      </c>
      <c r="D413" s="93" t="n"/>
      <c r="E413" s="93" t="n"/>
      <c r="F413" s="93" t="n"/>
      <c r="G413" s="93" t="n"/>
      <c r="H413" s="93" t="n"/>
      <c r="I413" s="105">
        <f>IF($A413="","",SUM(D413:H413))</f>
        <v/>
      </c>
    </row>
    <row r="414" ht="15" customHeight="1" s="71">
      <c r="A414" s="87" t="n"/>
      <c r="B414" s="91" t="n"/>
      <c r="C414" s="89">
        <f>IF(OR($A414="",$B414=""),"",IFERROR(VLOOKUP($B414,Employés!$A:$B,2,0),""))</f>
        <v/>
      </c>
      <c r="D414" s="93" t="n"/>
      <c r="E414" s="93" t="n"/>
      <c r="F414" s="93" t="n"/>
      <c r="G414" s="93" t="n"/>
      <c r="H414" s="93" t="n"/>
      <c r="I414" s="105">
        <f>IF($A414="","",SUM(D414:H414))</f>
        <v/>
      </c>
    </row>
    <row r="415" ht="15" customHeight="1" s="71">
      <c r="A415" s="87" t="n"/>
      <c r="B415" s="91" t="n"/>
      <c r="C415" s="89">
        <f>IF(OR($A415="",$B415=""),"",IFERROR(VLOOKUP($B415,Employés!$A:$B,2,0),""))</f>
        <v/>
      </c>
      <c r="D415" s="93" t="n"/>
      <c r="E415" s="93" t="n"/>
      <c r="F415" s="93" t="n"/>
      <c r="G415" s="93" t="n"/>
      <c r="H415" s="93" t="n"/>
      <c r="I415" s="105">
        <f>IF($A415="","",SUM(D415:H415))</f>
        <v/>
      </c>
    </row>
    <row r="416" ht="15" customHeight="1" s="71">
      <c r="A416" s="87" t="n"/>
      <c r="B416" s="91" t="n"/>
      <c r="C416" s="89">
        <f>IF(OR($A416="",$B416=""),"",IFERROR(VLOOKUP($B416,Employés!$A:$B,2,0),""))</f>
        <v/>
      </c>
      <c r="D416" s="93" t="n"/>
      <c r="E416" s="93" t="n"/>
      <c r="F416" s="93" t="n"/>
      <c r="G416" s="93" t="n"/>
      <c r="H416" s="93" t="n"/>
      <c r="I416" s="105">
        <f>IF($A416="","",SUM(D416:H416))</f>
        <v/>
      </c>
    </row>
    <row r="417" ht="15" customHeight="1" s="71">
      <c r="A417" s="87" t="n"/>
      <c r="B417" s="91" t="n"/>
      <c r="C417" s="89">
        <f>IF(OR($A417="",$B417=""),"",IFERROR(VLOOKUP($B417,Employés!$A:$B,2,0),""))</f>
        <v/>
      </c>
      <c r="D417" s="93" t="n"/>
      <c r="E417" s="93" t="n"/>
      <c r="F417" s="93" t="n"/>
      <c r="G417" s="93" t="n"/>
      <c r="H417" s="93" t="n"/>
      <c r="I417" s="105">
        <f>IF($A417="","",SUM(D417:H417))</f>
        <v/>
      </c>
    </row>
    <row r="418" ht="15" customHeight="1" s="71">
      <c r="A418" s="87" t="n"/>
      <c r="B418" s="91" t="n"/>
      <c r="C418" s="89">
        <f>IF(OR($A418="",$B418=""),"",IFERROR(VLOOKUP($B418,Employés!$A:$B,2,0),""))</f>
        <v/>
      </c>
      <c r="D418" s="93" t="n"/>
      <c r="E418" s="93" t="n"/>
      <c r="F418" s="93" t="n"/>
      <c r="G418" s="93" t="n"/>
      <c r="H418" s="93" t="n"/>
      <c r="I418" s="105">
        <f>IF($A418="","",SUM(D418:H418))</f>
        <v/>
      </c>
    </row>
    <row r="419" ht="15" customHeight="1" s="71">
      <c r="A419" s="87" t="n"/>
      <c r="B419" s="91" t="n"/>
      <c r="C419" s="89">
        <f>IF(OR($A419="",$B419=""),"",IFERROR(VLOOKUP($B419,Employés!$A:$B,2,0),""))</f>
        <v/>
      </c>
      <c r="D419" s="93" t="n"/>
      <c r="E419" s="93" t="n"/>
      <c r="F419" s="93" t="n"/>
      <c r="G419" s="93" t="n"/>
      <c r="H419" s="93" t="n"/>
      <c r="I419" s="105">
        <f>IF($A419="","",SUM(D419:H419))</f>
        <v/>
      </c>
    </row>
    <row r="420" ht="15" customHeight="1" s="71">
      <c r="A420" s="87" t="n"/>
      <c r="B420" s="91" t="n"/>
      <c r="C420" s="89">
        <f>IF(OR($A420="",$B420=""),"",IFERROR(VLOOKUP($B420,Employés!$A:$B,2,0),""))</f>
        <v/>
      </c>
      <c r="D420" s="93" t="n"/>
      <c r="E420" s="93" t="n"/>
      <c r="F420" s="93" t="n"/>
      <c r="G420" s="93" t="n"/>
      <c r="H420" s="93" t="n"/>
      <c r="I420" s="105">
        <f>IF($A420="","",SUM(D420:H420))</f>
        <v/>
      </c>
    </row>
    <row r="421" ht="15" customHeight="1" s="71">
      <c r="A421" s="87" t="n"/>
      <c r="B421" s="91" t="n"/>
      <c r="C421" s="89">
        <f>IF(OR($A421="",$B421=""),"",IFERROR(VLOOKUP($B421,Employés!$A:$B,2,0),""))</f>
        <v/>
      </c>
      <c r="D421" s="93" t="n"/>
      <c r="E421" s="93" t="n"/>
      <c r="F421" s="93" t="n"/>
      <c r="G421" s="93" t="n"/>
      <c r="H421" s="93" t="n"/>
      <c r="I421" s="105">
        <f>IF($A421="","",SUM(D421:H421))</f>
        <v/>
      </c>
    </row>
    <row r="422" ht="15" customHeight="1" s="71">
      <c r="A422" s="87" t="n"/>
      <c r="B422" s="91" t="n"/>
      <c r="C422" s="89">
        <f>IF(OR($A422="",$B422=""),"",IFERROR(VLOOKUP($B422,Employés!$A:$B,2,0),""))</f>
        <v/>
      </c>
      <c r="D422" s="93" t="n"/>
      <c r="E422" s="93" t="n"/>
      <c r="F422" s="93" t="n"/>
      <c r="G422" s="93" t="n"/>
      <c r="H422" s="93" t="n"/>
      <c r="I422" s="105">
        <f>IF($A422="","",SUM(D422:H422))</f>
        <v/>
      </c>
    </row>
    <row r="423" ht="15" customHeight="1" s="71">
      <c r="A423" s="87" t="n"/>
      <c r="B423" s="91" t="n"/>
      <c r="C423" s="89">
        <f>IF(OR($A423="",$B423=""),"",IFERROR(VLOOKUP($B423,Employés!$A:$B,2,0),""))</f>
        <v/>
      </c>
      <c r="D423" s="93" t="n"/>
      <c r="E423" s="93" t="n"/>
      <c r="F423" s="93" t="n"/>
      <c r="G423" s="93" t="n"/>
      <c r="H423" s="93" t="n"/>
      <c r="I423" s="105">
        <f>IF($A423="","",SUM(D423:H423))</f>
        <v/>
      </c>
    </row>
    <row r="424" ht="15" customHeight="1" s="71">
      <c r="A424" s="87" t="n"/>
      <c r="B424" s="91" t="n"/>
      <c r="C424" s="89">
        <f>IF(OR($A424="",$B424=""),"",IFERROR(VLOOKUP($B424,Employés!$A:$B,2,0),""))</f>
        <v/>
      </c>
      <c r="D424" s="93" t="n"/>
      <c r="E424" s="93" t="n"/>
      <c r="F424" s="93" t="n"/>
      <c r="G424" s="93" t="n"/>
      <c r="H424" s="93" t="n"/>
      <c r="I424" s="105">
        <f>IF($A424="","",SUM(D424:H424))</f>
        <v/>
      </c>
    </row>
    <row r="425" ht="15" customHeight="1" s="71">
      <c r="A425" s="87" t="n"/>
      <c r="B425" s="91" t="n"/>
      <c r="C425" s="89">
        <f>IF(OR($A425="",$B425=""),"",IFERROR(VLOOKUP($B425,Employés!$A:$B,2,0),""))</f>
        <v/>
      </c>
      <c r="D425" s="93" t="n"/>
      <c r="E425" s="93" t="n"/>
      <c r="F425" s="93" t="n"/>
      <c r="G425" s="93" t="n"/>
      <c r="H425" s="93" t="n"/>
      <c r="I425" s="105">
        <f>IF($A425="","",SUM(D425:H425))</f>
        <v/>
      </c>
    </row>
    <row r="426" ht="15" customHeight="1" s="71">
      <c r="A426" s="87" t="n"/>
      <c r="B426" s="91" t="n"/>
      <c r="C426" s="89">
        <f>IF(OR($A426="",$B426=""),"",IFERROR(VLOOKUP($B426,Employés!$A:$B,2,0),""))</f>
        <v/>
      </c>
      <c r="D426" s="93" t="n"/>
      <c r="E426" s="93" t="n"/>
      <c r="F426" s="93" t="n"/>
      <c r="G426" s="93" t="n"/>
      <c r="H426" s="93" t="n"/>
      <c r="I426" s="105">
        <f>IF($A426="","",SUM(D426:H426))</f>
        <v/>
      </c>
    </row>
    <row r="427" ht="15" customHeight="1" s="71">
      <c r="A427" s="87" t="n"/>
      <c r="B427" s="91" t="n"/>
      <c r="C427" s="89">
        <f>IF(OR($A427="",$B427=""),"",IFERROR(VLOOKUP($B427,Employés!$A:$B,2,0),""))</f>
        <v/>
      </c>
      <c r="D427" s="93" t="n"/>
      <c r="E427" s="93" t="n"/>
      <c r="F427" s="93" t="n"/>
      <c r="G427" s="93" t="n"/>
      <c r="H427" s="93" t="n"/>
      <c r="I427" s="105">
        <f>IF($A427="","",SUM(D427:H427))</f>
        <v/>
      </c>
    </row>
    <row r="428" ht="15" customHeight="1" s="71">
      <c r="A428" s="87" t="n"/>
      <c r="B428" s="91" t="n"/>
      <c r="C428" s="89">
        <f>IF(OR($A428="",$B428=""),"",IFERROR(VLOOKUP($B428,Employés!$A:$B,2,0),""))</f>
        <v/>
      </c>
      <c r="D428" s="93" t="n"/>
      <c r="E428" s="93" t="n"/>
      <c r="F428" s="93" t="n"/>
      <c r="G428" s="93" t="n"/>
      <c r="H428" s="93" t="n"/>
      <c r="I428" s="105">
        <f>IF($A428="","",SUM(D428:H428))</f>
        <v/>
      </c>
    </row>
    <row r="429" ht="15" customHeight="1" s="71">
      <c r="A429" s="87" t="n"/>
      <c r="B429" s="91" t="n"/>
      <c r="C429" s="89">
        <f>IF(OR($A429="",$B429=""),"",IFERROR(VLOOKUP($B429,Employés!$A:$B,2,0),""))</f>
        <v/>
      </c>
      <c r="D429" s="93" t="n"/>
      <c r="E429" s="93" t="n"/>
      <c r="F429" s="93" t="n"/>
      <c r="G429" s="93" t="n"/>
      <c r="H429" s="93" t="n"/>
      <c r="I429" s="105">
        <f>IF($A429="","",SUM(D429:H429))</f>
        <v/>
      </c>
    </row>
    <row r="430" ht="15" customHeight="1" s="71">
      <c r="A430" s="87" t="n"/>
      <c r="B430" s="91" t="n"/>
      <c r="C430" s="89">
        <f>IF(OR($A430="",$B430=""),"",IFERROR(VLOOKUP($B430,Employés!$A:$B,2,0),""))</f>
        <v/>
      </c>
      <c r="D430" s="93" t="n"/>
      <c r="E430" s="93" t="n"/>
      <c r="F430" s="93" t="n"/>
      <c r="G430" s="93" t="n"/>
      <c r="H430" s="93" t="n"/>
      <c r="I430" s="105">
        <f>IF($A430="","",SUM(D430:H430))</f>
        <v/>
      </c>
    </row>
    <row r="431" ht="15" customHeight="1" s="71">
      <c r="A431" s="87" t="n"/>
      <c r="B431" s="91" t="n"/>
      <c r="C431" s="89">
        <f>IF(OR($A431="",$B431=""),"",IFERROR(VLOOKUP($B431,Employés!$A:$B,2,0),""))</f>
        <v/>
      </c>
      <c r="D431" s="93" t="n"/>
      <c r="E431" s="93" t="n"/>
      <c r="F431" s="93" t="n"/>
      <c r="G431" s="93" t="n"/>
      <c r="H431" s="93" t="n"/>
      <c r="I431" s="105">
        <f>IF($A431="","",SUM(D431:H431))</f>
        <v/>
      </c>
    </row>
    <row r="432" ht="15" customHeight="1" s="71">
      <c r="A432" s="87" t="n"/>
      <c r="B432" s="91" t="n"/>
      <c r="C432" s="89">
        <f>IF(OR($A432="",$B432=""),"",IFERROR(VLOOKUP($B432,Employés!$A:$B,2,0),""))</f>
        <v/>
      </c>
      <c r="D432" s="93" t="n"/>
      <c r="E432" s="93" t="n"/>
      <c r="F432" s="93" t="n"/>
      <c r="G432" s="93" t="n"/>
      <c r="H432" s="93" t="n"/>
      <c r="I432" s="105">
        <f>IF($A432="","",SUM(D432:H432))</f>
        <v/>
      </c>
    </row>
    <row r="433" ht="15" customHeight="1" s="71">
      <c r="A433" s="87" t="n"/>
      <c r="B433" s="91" t="n"/>
      <c r="C433" s="89">
        <f>IF(OR($A433="",$B433=""),"",IFERROR(VLOOKUP($B433,Employés!$A:$B,2,0),""))</f>
        <v/>
      </c>
      <c r="D433" s="93" t="n"/>
      <c r="E433" s="93" t="n"/>
      <c r="F433" s="93" t="n"/>
      <c r="G433" s="93" t="n"/>
      <c r="H433" s="93" t="n"/>
      <c r="I433" s="105">
        <f>IF($A433="","",SUM(D433:H433))</f>
        <v/>
      </c>
    </row>
    <row r="434" ht="15" customHeight="1" s="71">
      <c r="A434" s="87" t="n"/>
      <c r="B434" s="91" t="n"/>
      <c r="C434" s="89">
        <f>IF(OR($A434="",$B434=""),"",IFERROR(VLOOKUP($B434,Employés!$A:$B,2,0),""))</f>
        <v/>
      </c>
      <c r="D434" s="93" t="n"/>
      <c r="E434" s="93" t="n"/>
      <c r="F434" s="93" t="n"/>
      <c r="G434" s="93" t="n"/>
      <c r="H434" s="93" t="n"/>
      <c r="I434" s="105">
        <f>IF($A434="","",SUM(D434:H434))</f>
        <v/>
      </c>
    </row>
    <row r="435" ht="15" customHeight="1" s="71">
      <c r="A435" s="87" t="n"/>
      <c r="B435" s="91" t="n"/>
      <c r="C435" s="89">
        <f>IF(OR($A435="",$B435=""),"",IFERROR(VLOOKUP($B435,Employés!$A:$B,2,0),""))</f>
        <v/>
      </c>
      <c r="D435" s="93" t="n"/>
      <c r="E435" s="93" t="n"/>
      <c r="F435" s="93" t="n"/>
      <c r="G435" s="93" t="n"/>
      <c r="H435" s="93" t="n"/>
      <c r="I435" s="105">
        <f>IF($A435="","",SUM(D435:H435))</f>
        <v/>
      </c>
    </row>
    <row r="436" ht="15" customHeight="1" s="71">
      <c r="A436" s="87" t="n"/>
      <c r="B436" s="91" t="n"/>
      <c r="C436" s="89">
        <f>IF(OR($A436="",$B436=""),"",IFERROR(VLOOKUP($B436,Employés!$A:$B,2,0),""))</f>
        <v/>
      </c>
      <c r="D436" s="93" t="n"/>
      <c r="E436" s="93" t="n"/>
      <c r="F436" s="93" t="n"/>
      <c r="G436" s="93" t="n"/>
      <c r="H436" s="93" t="n"/>
      <c r="I436" s="105">
        <f>IF($A436="","",SUM(D436:H436))</f>
        <v/>
      </c>
    </row>
    <row r="437" ht="15" customHeight="1" s="71">
      <c r="A437" s="87" t="n"/>
      <c r="B437" s="91" t="n"/>
      <c r="C437" s="89">
        <f>IF(OR($A437="",$B437=""),"",IFERROR(VLOOKUP($B437,Employés!$A:$B,2,0),""))</f>
        <v/>
      </c>
      <c r="D437" s="93" t="n"/>
      <c r="E437" s="93" t="n"/>
      <c r="F437" s="93" t="n"/>
      <c r="G437" s="93" t="n"/>
      <c r="H437" s="93" t="n"/>
      <c r="I437" s="105">
        <f>IF($A437="","",SUM(D437:H437))</f>
        <v/>
      </c>
    </row>
    <row r="438" ht="15" customHeight="1" s="71">
      <c r="A438" s="87" t="n"/>
      <c r="B438" s="91" t="n"/>
      <c r="C438" s="89">
        <f>IF(OR($A438="",$B438=""),"",IFERROR(VLOOKUP($B438,Employés!$A:$B,2,0),""))</f>
        <v/>
      </c>
      <c r="D438" s="93" t="n"/>
      <c r="E438" s="93" t="n"/>
      <c r="F438" s="93" t="n"/>
      <c r="G438" s="93" t="n"/>
      <c r="H438" s="93" t="n"/>
      <c r="I438" s="105">
        <f>IF($A438="","",SUM(D438:H438))</f>
        <v/>
      </c>
    </row>
    <row r="439" ht="15" customHeight="1" s="71">
      <c r="A439" s="87" t="n"/>
      <c r="B439" s="91" t="n"/>
      <c r="C439" s="89">
        <f>IF(OR($A439="",$B439=""),"",IFERROR(VLOOKUP($B439,Employés!$A:$B,2,0),""))</f>
        <v/>
      </c>
      <c r="D439" s="93" t="n"/>
      <c r="E439" s="93" t="n"/>
      <c r="F439" s="93" t="n"/>
      <c r="G439" s="93" t="n"/>
      <c r="H439" s="93" t="n"/>
      <c r="I439" s="105">
        <f>IF($A439="","",SUM(D439:H439))</f>
        <v/>
      </c>
    </row>
    <row r="440" ht="15" customHeight="1" s="71">
      <c r="A440" s="87" t="n"/>
      <c r="B440" s="91" t="n"/>
      <c r="C440" s="89">
        <f>IF(OR($A440="",$B440=""),"",IFERROR(VLOOKUP($B440,Employés!$A:$B,2,0),""))</f>
        <v/>
      </c>
      <c r="D440" s="93" t="n"/>
      <c r="E440" s="93" t="n"/>
      <c r="F440" s="93" t="n"/>
      <c r="G440" s="93" t="n"/>
      <c r="H440" s="93" t="n"/>
      <c r="I440" s="105">
        <f>IF($A440="","",SUM(D440:H440))</f>
        <v/>
      </c>
    </row>
    <row r="441" ht="15" customHeight="1" s="71">
      <c r="A441" s="87" t="n"/>
      <c r="B441" s="91" t="n"/>
      <c r="C441" s="89">
        <f>IF(OR($A441="",$B441=""),"",IFERROR(VLOOKUP($B441,Employés!$A:$B,2,0),""))</f>
        <v/>
      </c>
      <c r="D441" s="93" t="n"/>
      <c r="E441" s="93" t="n"/>
      <c r="F441" s="93" t="n"/>
      <c r="G441" s="93" t="n"/>
      <c r="H441" s="93" t="n"/>
      <c r="I441" s="105">
        <f>IF($A441="","",SUM(D441:H441))</f>
        <v/>
      </c>
    </row>
    <row r="442" ht="15" customHeight="1" s="71">
      <c r="A442" s="87" t="n"/>
      <c r="B442" s="91" t="n"/>
      <c r="C442" s="89">
        <f>IF(OR($A442="",$B442=""),"",IFERROR(VLOOKUP($B442,Employés!$A:$B,2,0),""))</f>
        <v/>
      </c>
      <c r="D442" s="93" t="n"/>
      <c r="E442" s="93" t="n"/>
      <c r="F442" s="93" t="n"/>
      <c r="G442" s="93" t="n"/>
      <c r="H442" s="93" t="n"/>
      <c r="I442" s="105">
        <f>IF($A442="","",SUM(D442:H442))</f>
        <v/>
      </c>
    </row>
    <row r="443" ht="15" customHeight="1" s="71">
      <c r="A443" s="87" t="n"/>
      <c r="B443" s="91" t="n"/>
      <c r="C443" s="89">
        <f>IF(OR($A443="",$B443=""),"",IFERROR(VLOOKUP($B443,Employés!$A:$B,2,0),""))</f>
        <v/>
      </c>
      <c r="D443" s="93" t="n"/>
      <c r="E443" s="93" t="n"/>
      <c r="F443" s="93" t="n"/>
      <c r="G443" s="93" t="n"/>
      <c r="H443" s="93" t="n"/>
      <c r="I443" s="105">
        <f>IF($A443="","",SUM(D443:H443))</f>
        <v/>
      </c>
    </row>
    <row r="444" ht="15" customHeight="1" s="71">
      <c r="A444" s="87" t="n"/>
      <c r="B444" s="91" t="n"/>
      <c r="C444" s="89">
        <f>IF(OR($A444="",$B444=""),"",IFERROR(VLOOKUP($B444,Employés!$A:$B,2,0),""))</f>
        <v/>
      </c>
      <c r="D444" s="93" t="n"/>
      <c r="E444" s="93" t="n"/>
      <c r="F444" s="93" t="n"/>
      <c r="G444" s="93" t="n"/>
      <c r="H444" s="93" t="n"/>
      <c r="I444" s="105">
        <f>IF($A444="","",SUM(D444:H444))</f>
        <v/>
      </c>
    </row>
    <row r="445" ht="15" customHeight="1" s="71">
      <c r="A445" s="87" t="n"/>
      <c r="B445" s="91" t="n"/>
      <c r="C445" s="89">
        <f>IF(OR($A445="",$B445=""),"",IFERROR(VLOOKUP($B445,Employés!$A:$B,2,0),""))</f>
        <v/>
      </c>
      <c r="D445" s="93" t="n"/>
      <c r="E445" s="93" t="n"/>
      <c r="F445" s="93" t="n"/>
      <c r="G445" s="93" t="n"/>
      <c r="H445" s="93" t="n"/>
      <c r="I445" s="105">
        <f>IF($A445="","",SUM(D445:H445))</f>
        <v/>
      </c>
    </row>
    <row r="446" ht="15" customHeight="1" s="71">
      <c r="A446" s="87" t="n"/>
      <c r="B446" s="91" t="n"/>
      <c r="C446" s="89">
        <f>IF(OR($A446="",$B446=""),"",IFERROR(VLOOKUP($B446,Employés!$A:$B,2,0),""))</f>
        <v/>
      </c>
      <c r="D446" s="93" t="n"/>
      <c r="E446" s="93" t="n"/>
      <c r="F446" s="93" t="n"/>
      <c r="G446" s="93" t="n"/>
      <c r="H446" s="93" t="n"/>
      <c r="I446" s="105">
        <f>IF($A446="","",SUM(D446:H446))</f>
        <v/>
      </c>
    </row>
    <row r="447" ht="15" customHeight="1" s="71">
      <c r="A447" s="87" t="n"/>
      <c r="B447" s="91" t="n"/>
      <c r="C447" s="89">
        <f>IF(OR($A447="",$B447=""),"",IFERROR(VLOOKUP($B447,Employés!$A:$B,2,0),""))</f>
        <v/>
      </c>
      <c r="D447" s="93" t="n"/>
      <c r="E447" s="93" t="n"/>
      <c r="F447" s="93" t="n"/>
      <c r="G447" s="93" t="n"/>
      <c r="H447" s="93" t="n"/>
      <c r="I447" s="105">
        <f>IF($A447="","",SUM(D447:H447))</f>
        <v/>
      </c>
    </row>
    <row r="448" ht="15" customHeight="1" s="71">
      <c r="A448" s="87" t="n"/>
      <c r="B448" s="91" t="n"/>
      <c r="C448" s="89">
        <f>IF(OR($A448="",$B448=""),"",IFERROR(VLOOKUP($B448,Employés!$A:$B,2,0),""))</f>
        <v/>
      </c>
      <c r="D448" s="93" t="n"/>
      <c r="E448" s="93" t="n"/>
      <c r="F448" s="93" t="n"/>
      <c r="G448" s="93" t="n"/>
      <c r="H448" s="93" t="n"/>
      <c r="I448" s="105">
        <f>IF($A448="","",SUM(D448:H448))</f>
        <v/>
      </c>
    </row>
    <row r="449" ht="15" customHeight="1" s="71">
      <c r="A449" s="87" t="n"/>
      <c r="B449" s="91" t="n"/>
      <c r="C449" s="89">
        <f>IF(OR($A449="",$B449=""),"",IFERROR(VLOOKUP($B449,Employés!$A:$B,2,0),""))</f>
        <v/>
      </c>
      <c r="D449" s="93" t="n"/>
      <c r="E449" s="93" t="n"/>
      <c r="F449" s="93" t="n"/>
      <c r="G449" s="93" t="n"/>
      <c r="H449" s="93" t="n"/>
      <c r="I449" s="105">
        <f>IF($A449="","",SUM(D449:H449))</f>
        <v/>
      </c>
    </row>
    <row r="450" ht="15" customHeight="1" s="71">
      <c r="A450" s="87" t="n"/>
      <c r="B450" s="91" t="n"/>
      <c r="C450" s="89">
        <f>IF(OR($A450="",$B450=""),"",IFERROR(VLOOKUP($B450,Employés!$A:$B,2,0),""))</f>
        <v/>
      </c>
      <c r="D450" s="93" t="n"/>
      <c r="E450" s="93" t="n"/>
      <c r="F450" s="93" t="n"/>
      <c r="G450" s="93" t="n"/>
      <c r="H450" s="93" t="n"/>
      <c r="I450" s="105">
        <f>IF($A450="","",SUM(D450:H450))</f>
        <v/>
      </c>
    </row>
    <row r="451" ht="15" customHeight="1" s="71">
      <c r="A451" s="87" t="n"/>
      <c r="B451" s="91" t="n"/>
      <c r="C451" s="89">
        <f>IF(OR($A451="",$B451=""),"",IFERROR(VLOOKUP($B451,Employés!$A:$B,2,0),""))</f>
        <v/>
      </c>
      <c r="D451" s="93" t="n"/>
      <c r="E451" s="93" t="n"/>
      <c r="F451" s="93" t="n"/>
      <c r="G451" s="93" t="n"/>
      <c r="H451" s="93" t="n"/>
      <c r="I451" s="105">
        <f>IF($A451="","",SUM(D451:H451))</f>
        <v/>
      </c>
    </row>
    <row r="452" ht="15" customHeight="1" s="71">
      <c r="A452" s="87" t="n"/>
      <c r="B452" s="91" t="n"/>
      <c r="C452" s="89">
        <f>IF(OR($A452="",$B452=""),"",IFERROR(VLOOKUP($B452,Employés!$A:$B,2,0),""))</f>
        <v/>
      </c>
      <c r="D452" s="93" t="n"/>
      <c r="E452" s="93" t="n"/>
      <c r="F452" s="93" t="n"/>
      <c r="G452" s="93" t="n"/>
      <c r="H452" s="93" t="n"/>
      <c r="I452" s="105">
        <f>IF($A452="","",SUM(D452:H452))</f>
        <v/>
      </c>
    </row>
    <row r="453" ht="15" customHeight="1" s="71">
      <c r="A453" s="87" t="n"/>
      <c r="B453" s="91" t="n"/>
      <c r="C453" s="89">
        <f>IF(OR($A453="",$B453=""),"",IFERROR(VLOOKUP($B453,Employés!$A:$B,2,0),""))</f>
        <v/>
      </c>
      <c r="D453" s="93" t="n"/>
      <c r="E453" s="93" t="n"/>
      <c r="F453" s="93" t="n"/>
      <c r="G453" s="93" t="n"/>
      <c r="H453" s="93" t="n"/>
      <c r="I453" s="105">
        <f>IF($A453="","",SUM(D453:H453))</f>
        <v/>
      </c>
    </row>
    <row r="454" ht="15" customHeight="1" s="71">
      <c r="A454" s="87" t="n"/>
      <c r="B454" s="91" t="n"/>
      <c r="C454" s="89">
        <f>IF(OR($A454="",$B454=""),"",IFERROR(VLOOKUP($B454,Employés!$A:$B,2,0),""))</f>
        <v/>
      </c>
      <c r="D454" s="93" t="n"/>
      <c r="E454" s="93" t="n"/>
      <c r="F454" s="93" t="n"/>
      <c r="G454" s="93" t="n"/>
      <c r="H454" s="93" t="n"/>
      <c r="I454" s="105">
        <f>IF($A454="","",SUM(D454:H454))</f>
        <v/>
      </c>
    </row>
    <row r="455" ht="15" customHeight="1" s="71">
      <c r="A455" s="87" t="n"/>
      <c r="B455" s="91" t="n"/>
      <c r="C455" s="89">
        <f>IF(OR($A455="",$B455=""),"",IFERROR(VLOOKUP($B455,Employés!$A:$B,2,0),""))</f>
        <v/>
      </c>
      <c r="D455" s="93" t="n"/>
      <c r="E455" s="93" t="n"/>
      <c r="F455" s="93" t="n"/>
      <c r="G455" s="93" t="n"/>
      <c r="H455" s="93" t="n"/>
      <c r="I455" s="105">
        <f>IF($A455="","",SUM(D455:H455))</f>
        <v/>
      </c>
    </row>
    <row r="456" ht="15" customHeight="1" s="71">
      <c r="A456" s="87" t="n"/>
      <c r="B456" s="91" t="n"/>
      <c r="C456" s="89">
        <f>IF(OR($A456="",$B456=""),"",IFERROR(VLOOKUP($B456,Employés!$A:$B,2,0),""))</f>
        <v/>
      </c>
      <c r="D456" s="93" t="n"/>
      <c r="E456" s="93" t="n"/>
      <c r="F456" s="93" t="n"/>
      <c r="G456" s="93" t="n"/>
      <c r="H456" s="93" t="n"/>
      <c r="I456" s="105">
        <f>IF($A456="","",SUM(D456:H456))</f>
        <v/>
      </c>
    </row>
    <row r="457" ht="15" customHeight="1" s="71">
      <c r="A457" s="87" t="n"/>
      <c r="B457" s="91" t="n"/>
      <c r="C457" s="89">
        <f>IF(OR($A457="",$B457=""),"",IFERROR(VLOOKUP($B457,Employés!$A:$B,2,0),""))</f>
        <v/>
      </c>
      <c r="D457" s="93" t="n"/>
      <c r="E457" s="93" t="n"/>
      <c r="F457" s="93" t="n"/>
      <c r="G457" s="93" t="n"/>
      <c r="H457" s="93" t="n"/>
      <c r="I457" s="105">
        <f>IF($A457="","",SUM(D457:H457))</f>
        <v/>
      </c>
    </row>
    <row r="458" ht="15" customHeight="1" s="71">
      <c r="A458" s="87" t="n"/>
      <c r="B458" s="91" t="n"/>
      <c r="C458" s="89">
        <f>IF(OR($A458="",$B458=""),"",IFERROR(VLOOKUP($B458,Employés!$A:$B,2,0),""))</f>
        <v/>
      </c>
      <c r="D458" s="93" t="n"/>
      <c r="E458" s="93" t="n"/>
      <c r="F458" s="93" t="n"/>
      <c r="G458" s="93" t="n"/>
      <c r="H458" s="93" t="n"/>
      <c r="I458" s="105">
        <f>IF($A458="","",SUM(D458:H458))</f>
        <v/>
      </c>
    </row>
    <row r="459" ht="15" customHeight="1" s="71">
      <c r="A459" s="87" t="n"/>
      <c r="B459" s="91" t="n"/>
      <c r="C459" s="89">
        <f>IF(OR($A459="",$B459=""),"",IFERROR(VLOOKUP($B459,Employés!$A:$B,2,0),""))</f>
        <v/>
      </c>
      <c r="D459" s="93" t="n"/>
      <c r="E459" s="93" t="n"/>
      <c r="F459" s="93" t="n"/>
      <c r="G459" s="93" t="n"/>
      <c r="H459" s="93" t="n"/>
      <c r="I459" s="105">
        <f>IF($A459="","",SUM(D459:H459))</f>
        <v/>
      </c>
    </row>
    <row r="460" ht="15" customHeight="1" s="71">
      <c r="A460" s="87" t="n"/>
      <c r="B460" s="91" t="n"/>
      <c r="C460" s="89">
        <f>IF(OR($A460="",$B460=""),"",IFERROR(VLOOKUP($B460,Employés!$A:$B,2,0),""))</f>
        <v/>
      </c>
      <c r="D460" s="93" t="n"/>
      <c r="E460" s="93" t="n"/>
      <c r="F460" s="93" t="n"/>
      <c r="G460" s="93" t="n"/>
      <c r="H460" s="93" t="n"/>
      <c r="I460" s="105">
        <f>IF($A460="","",SUM(D460:H460))</f>
        <v/>
      </c>
    </row>
    <row r="461" ht="15" customHeight="1" s="71">
      <c r="A461" s="87" t="n"/>
      <c r="B461" s="91" t="n"/>
      <c r="C461" s="89">
        <f>IF(OR($A461="",$B461=""),"",IFERROR(VLOOKUP($B461,Employés!$A:$B,2,0),""))</f>
        <v/>
      </c>
      <c r="D461" s="93" t="n"/>
      <c r="E461" s="93" t="n"/>
      <c r="F461" s="93" t="n"/>
      <c r="G461" s="93" t="n"/>
      <c r="H461" s="93" t="n"/>
      <c r="I461" s="105">
        <f>IF($A461="","",SUM(D461:H461))</f>
        <v/>
      </c>
    </row>
    <row r="462" ht="15" customHeight="1" s="71">
      <c r="A462" s="87" t="n"/>
      <c r="B462" s="91" t="n"/>
      <c r="C462" s="89">
        <f>IF(OR($A462="",$B462=""),"",IFERROR(VLOOKUP($B462,Employés!$A:$B,2,0),""))</f>
        <v/>
      </c>
      <c r="D462" s="93" t="n"/>
      <c r="E462" s="93" t="n"/>
      <c r="F462" s="93" t="n"/>
      <c r="G462" s="93" t="n"/>
      <c r="H462" s="93" t="n"/>
      <c r="I462" s="105">
        <f>IF($A462="","",SUM(D462:H462))</f>
        <v/>
      </c>
    </row>
    <row r="463" ht="15" customHeight="1" s="71">
      <c r="A463" s="87" t="n"/>
      <c r="B463" s="91" t="n"/>
      <c r="C463" s="89">
        <f>IF(OR($A463="",$B463=""),"",IFERROR(VLOOKUP($B463,Employés!$A:$B,2,0),""))</f>
        <v/>
      </c>
      <c r="D463" s="93" t="n"/>
      <c r="E463" s="93" t="n"/>
      <c r="F463" s="93" t="n"/>
      <c r="G463" s="93" t="n"/>
      <c r="H463" s="93" t="n"/>
      <c r="I463" s="105">
        <f>IF($A463="","",SUM(D463:H463))</f>
        <v/>
      </c>
    </row>
    <row r="464" ht="15" customHeight="1" s="71">
      <c r="A464" s="87" t="n"/>
      <c r="B464" s="91" t="n"/>
      <c r="C464" s="89">
        <f>IF(OR($A464="",$B464=""),"",IFERROR(VLOOKUP($B464,Employés!$A:$B,2,0),""))</f>
        <v/>
      </c>
      <c r="D464" s="93" t="n"/>
      <c r="E464" s="93" t="n"/>
      <c r="F464" s="93" t="n"/>
      <c r="G464" s="93" t="n"/>
      <c r="H464" s="93" t="n"/>
      <c r="I464" s="105">
        <f>IF($A464="","",SUM(D464:H464))</f>
        <v/>
      </c>
    </row>
    <row r="465" ht="15" customHeight="1" s="71">
      <c r="A465" s="87" t="n"/>
      <c r="B465" s="91" t="n"/>
      <c r="C465" s="89">
        <f>IF(OR($A465="",$B465=""),"",IFERROR(VLOOKUP($B465,Employés!$A:$B,2,0),""))</f>
        <v/>
      </c>
      <c r="D465" s="93" t="n"/>
      <c r="E465" s="93" t="n"/>
      <c r="F465" s="93" t="n"/>
      <c r="G465" s="93" t="n"/>
      <c r="H465" s="93" t="n"/>
      <c r="I465" s="105">
        <f>IF($A465="","",SUM(D465:H465))</f>
        <v/>
      </c>
    </row>
    <row r="466" ht="15" customHeight="1" s="71">
      <c r="A466" s="87" t="n"/>
      <c r="B466" s="91" t="n"/>
      <c r="C466" s="89">
        <f>IF(OR($A466="",$B466=""),"",IFERROR(VLOOKUP($B466,Employés!$A:$B,2,0),""))</f>
        <v/>
      </c>
      <c r="D466" s="93" t="n"/>
      <c r="E466" s="93" t="n"/>
      <c r="F466" s="93" t="n"/>
      <c r="G466" s="93" t="n"/>
      <c r="H466" s="93" t="n"/>
      <c r="I466" s="105">
        <f>IF($A466="","",SUM(D466:H466))</f>
        <v/>
      </c>
    </row>
    <row r="467" ht="15" customHeight="1" s="71">
      <c r="A467" s="87" t="n"/>
      <c r="B467" s="91" t="n"/>
      <c r="C467" s="89">
        <f>IF(OR($A467="",$B467=""),"",IFERROR(VLOOKUP($B467,Employés!$A:$B,2,0),""))</f>
        <v/>
      </c>
      <c r="D467" s="93" t="n"/>
      <c r="E467" s="93" t="n"/>
      <c r="F467" s="93" t="n"/>
      <c r="G467" s="93" t="n"/>
      <c r="H467" s="93" t="n"/>
      <c r="I467" s="105">
        <f>IF($A467="","",SUM(D467:H467))</f>
        <v/>
      </c>
    </row>
    <row r="468" ht="15" customHeight="1" s="71">
      <c r="A468" s="87" t="n"/>
      <c r="B468" s="91" t="n"/>
      <c r="C468" s="89">
        <f>IF(OR($A468="",$B468=""),"",IFERROR(VLOOKUP($B468,Employés!$A:$B,2,0),""))</f>
        <v/>
      </c>
      <c r="D468" s="93" t="n"/>
      <c r="E468" s="93" t="n"/>
      <c r="F468" s="93" t="n"/>
      <c r="G468" s="93" t="n"/>
      <c r="H468" s="93" t="n"/>
      <c r="I468" s="105">
        <f>IF($A468="","",SUM(D468:H468))</f>
        <v/>
      </c>
    </row>
    <row r="469" ht="15" customHeight="1" s="71">
      <c r="A469" s="87" t="n"/>
      <c r="B469" s="91" t="n"/>
      <c r="C469" s="89">
        <f>IF(OR($A469="",$B469=""),"",IFERROR(VLOOKUP($B469,Employés!$A:$B,2,0),""))</f>
        <v/>
      </c>
      <c r="D469" s="93" t="n"/>
      <c r="E469" s="93" t="n"/>
      <c r="F469" s="93" t="n"/>
      <c r="G469" s="93" t="n"/>
      <c r="H469" s="93" t="n"/>
      <c r="I469" s="105">
        <f>IF($A469="","",SUM(D469:H469))</f>
        <v/>
      </c>
    </row>
    <row r="470" ht="15" customHeight="1" s="71">
      <c r="A470" s="87" t="n"/>
      <c r="B470" s="91" t="n"/>
      <c r="C470" s="89">
        <f>IF(OR($A470="",$B470=""),"",IFERROR(VLOOKUP($B470,Employés!$A:$B,2,0),""))</f>
        <v/>
      </c>
      <c r="D470" s="93" t="n"/>
      <c r="E470" s="93" t="n"/>
      <c r="F470" s="93" t="n"/>
      <c r="G470" s="93" t="n"/>
      <c r="H470" s="93" t="n"/>
      <c r="I470" s="105">
        <f>IF($A470="","",SUM(D470:H470))</f>
        <v/>
      </c>
    </row>
    <row r="471" ht="15" customHeight="1" s="71">
      <c r="A471" s="87" t="n"/>
      <c r="B471" s="91" t="n"/>
      <c r="C471" s="89">
        <f>IF(OR($A471="",$B471=""),"",IFERROR(VLOOKUP($B471,Employés!$A:$B,2,0),""))</f>
        <v/>
      </c>
      <c r="D471" s="93" t="n"/>
      <c r="E471" s="93" t="n"/>
      <c r="F471" s="93" t="n"/>
      <c r="G471" s="93" t="n"/>
      <c r="H471" s="93" t="n"/>
      <c r="I471" s="105">
        <f>IF($A471="","",SUM(D471:H471))</f>
        <v/>
      </c>
    </row>
    <row r="472" ht="15" customHeight="1" s="71">
      <c r="A472" s="87" t="n"/>
      <c r="B472" s="91" t="n"/>
      <c r="C472" s="89">
        <f>IF(OR($A472="",$B472=""),"",IFERROR(VLOOKUP($B472,Employés!$A:$B,2,0),""))</f>
        <v/>
      </c>
      <c r="D472" s="93" t="n"/>
      <c r="E472" s="93" t="n"/>
      <c r="F472" s="93" t="n"/>
      <c r="G472" s="93" t="n"/>
      <c r="H472" s="93" t="n"/>
      <c r="I472" s="105">
        <f>IF($A472="","",SUM(D472:H472))</f>
        <v/>
      </c>
    </row>
    <row r="473" ht="15" customHeight="1" s="71">
      <c r="A473" s="87" t="n"/>
      <c r="B473" s="91" t="n"/>
      <c r="C473" s="89">
        <f>IF(OR($A473="",$B473=""),"",IFERROR(VLOOKUP($B473,Employés!$A:$B,2,0),""))</f>
        <v/>
      </c>
      <c r="D473" s="93" t="n"/>
      <c r="E473" s="93" t="n"/>
      <c r="F473" s="93" t="n"/>
      <c r="G473" s="93" t="n"/>
      <c r="H473" s="93" t="n"/>
      <c r="I473" s="105">
        <f>IF($A473="","",SUM(D473:H473))</f>
        <v/>
      </c>
    </row>
    <row r="474" ht="15" customHeight="1" s="71">
      <c r="A474" s="87" t="n"/>
      <c r="B474" s="91" t="n"/>
      <c r="C474" s="89">
        <f>IF(OR($A474="",$B474=""),"",IFERROR(VLOOKUP($B474,Employés!$A:$B,2,0),""))</f>
        <v/>
      </c>
      <c r="D474" s="93" t="n"/>
      <c r="E474" s="93" t="n"/>
      <c r="F474" s="93" t="n"/>
      <c r="G474" s="93" t="n"/>
      <c r="H474" s="93" t="n"/>
      <c r="I474" s="105">
        <f>IF($A474="","",SUM(D474:H474))</f>
        <v/>
      </c>
    </row>
    <row r="475" ht="15" customHeight="1" s="71">
      <c r="A475" s="87" t="n"/>
      <c r="B475" s="91" t="n"/>
      <c r="C475" s="89">
        <f>IF(OR($A475="",$B475=""),"",IFERROR(VLOOKUP($B475,Employés!$A:$B,2,0),""))</f>
        <v/>
      </c>
      <c r="D475" s="93" t="n"/>
      <c r="E475" s="93" t="n"/>
      <c r="F475" s="93" t="n"/>
      <c r="G475" s="93" t="n"/>
      <c r="H475" s="93" t="n"/>
      <c r="I475" s="105">
        <f>IF($A475="","",SUM(D475:H475))</f>
        <v/>
      </c>
    </row>
    <row r="476" ht="15" customHeight="1" s="71">
      <c r="A476" s="87" t="n"/>
      <c r="B476" s="91" t="n"/>
      <c r="C476" s="89">
        <f>IF(OR($A476="",$B476=""),"",IFERROR(VLOOKUP($B476,Employés!$A:$B,2,0),""))</f>
        <v/>
      </c>
      <c r="D476" s="93" t="n"/>
      <c r="E476" s="93" t="n"/>
      <c r="F476" s="93" t="n"/>
      <c r="G476" s="93" t="n"/>
      <c r="H476" s="93" t="n"/>
      <c r="I476" s="105">
        <f>IF($A476="","",SUM(D476:H476))</f>
        <v/>
      </c>
    </row>
    <row r="477" ht="15" customHeight="1" s="71">
      <c r="A477" s="87" t="n"/>
      <c r="B477" s="91" t="n"/>
      <c r="C477" s="89">
        <f>IF(OR($A477="",$B477=""),"",IFERROR(VLOOKUP($B477,Employés!$A:$B,2,0),""))</f>
        <v/>
      </c>
      <c r="D477" s="93" t="n"/>
      <c r="E477" s="93" t="n"/>
      <c r="F477" s="93" t="n"/>
      <c r="G477" s="93" t="n"/>
      <c r="H477" s="93" t="n"/>
      <c r="I477" s="105">
        <f>IF($A477="","",SUM(D477:H477))</f>
        <v/>
      </c>
    </row>
    <row r="478" ht="15" customHeight="1" s="71">
      <c r="A478" s="87" t="n"/>
      <c r="B478" s="91" t="n"/>
      <c r="C478" s="89">
        <f>IF(OR($A478="",$B478=""),"",IFERROR(VLOOKUP($B478,Employés!$A:$B,2,0),""))</f>
        <v/>
      </c>
      <c r="D478" s="93" t="n"/>
      <c r="E478" s="93" t="n"/>
      <c r="F478" s="93" t="n"/>
      <c r="G478" s="93" t="n"/>
      <c r="H478" s="93" t="n"/>
      <c r="I478" s="105">
        <f>IF($A478="","",SUM(D478:H478))</f>
        <v/>
      </c>
    </row>
    <row r="479" ht="15" customHeight="1" s="71">
      <c r="A479" s="87" t="n"/>
      <c r="B479" s="91" t="n"/>
      <c r="C479" s="89">
        <f>IF(OR($A479="",$B479=""),"",IFERROR(VLOOKUP($B479,Employés!$A:$B,2,0),""))</f>
        <v/>
      </c>
      <c r="D479" s="93" t="n"/>
      <c r="E479" s="93" t="n"/>
      <c r="F479" s="93" t="n"/>
      <c r="G479" s="93" t="n"/>
      <c r="H479" s="93" t="n"/>
      <c r="I479" s="105">
        <f>IF($A479="","",SUM(D479:H479))</f>
        <v/>
      </c>
    </row>
    <row r="480" ht="15" customHeight="1" s="71">
      <c r="A480" s="87" t="n"/>
      <c r="B480" s="91" t="n"/>
      <c r="C480" s="89">
        <f>IF(OR($A480="",$B480=""),"",IFERROR(VLOOKUP($B480,Employés!$A:$B,2,0),""))</f>
        <v/>
      </c>
      <c r="D480" s="93" t="n"/>
      <c r="E480" s="93" t="n"/>
      <c r="F480" s="93" t="n"/>
      <c r="G480" s="93" t="n"/>
      <c r="H480" s="93" t="n"/>
      <c r="I480" s="105">
        <f>IF($A480="","",SUM(D480:H480))</f>
        <v/>
      </c>
    </row>
    <row r="481" ht="15" customHeight="1" s="71">
      <c r="A481" s="87" t="n"/>
      <c r="B481" s="91" t="n"/>
      <c r="C481" s="89">
        <f>IF(OR($A481="",$B481=""),"",IFERROR(VLOOKUP($B481,Employés!$A:$B,2,0),""))</f>
        <v/>
      </c>
      <c r="D481" s="93" t="n"/>
      <c r="E481" s="93" t="n"/>
      <c r="F481" s="93" t="n"/>
      <c r="G481" s="93" t="n"/>
      <c r="H481" s="93" t="n"/>
      <c r="I481" s="105">
        <f>IF($A481="","",SUM(D481:H481))</f>
        <v/>
      </c>
    </row>
    <row r="482" ht="15" customHeight="1" s="71">
      <c r="A482" s="87" t="n"/>
      <c r="B482" s="91" t="n"/>
      <c r="C482" s="89">
        <f>IF(OR($A482="",$B482=""),"",IFERROR(VLOOKUP($B482,Employés!$A:$B,2,0),""))</f>
        <v/>
      </c>
      <c r="D482" s="93" t="n"/>
      <c r="E482" s="93" t="n"/>
      <c r="F482" s="93" t="n"/>
      <c r="G482" s="93" t="n"/>
      <c r="H482" s="93" t="n"/>
      <c r="I482" s="105">
        <f>IF($A482="","",SUM(D482:H482))</f>
        <v/>
      </c>
    </row>
    <row r="483" ht="15" customHeight="1" s="71">
      <c r="A483" s="87" t="n"/>
      <c r="B483" s="91" t="n"/>
      <c r="C483" s="89">
        <f>IF(OR($A483="",$B483=""),"",IFERROR(VLOOKUP($B483,Employés!$A:$B,2,0),""))</f>
        <v/>
      </c>
      <c r="D483" s="93" t="n"/>
      <c r="E483" s="93" t="n"/>
      <c r="F483" s="93" t="n"/>
      <c r="G483" s="93" t="n"/>
      <c r="H483" s="93" t="n"/>
      <c r="I483" s="105">
        <f>IF($A483="","",SUM(D483:H483))</f>
        <v/>
      </c>
    </row>
    <row r="484" ht="15" customHeight="1" s="71">
      <c r="A484" s="87" t="n"/>
      <c r="B484" s="91" t="n"/>
      <c r="C484" s="89">
        <f>IF(OR($A484="",$B484=""),"",IFERROR(VLOOKUP($B484,Employés!$A:$B,2,0),""))</f>
        <v/>
      </c>
      <c r="D484" s="93" t="n"/>
      <c r="E484" s="93" t="n"/>
      <c r="F484" s="93" t="n"/>
      <c r="G484" s="93" t="n"/>
      <c r="H484" s="93" t="n"/>
      <c r="I484" s="105">
        <f>IF($A484="","",SUM(D484:H484))</f>
        <v/>
      </c>
    </row>
    <row r="485" ht="15" customHeight="1" s="71">
      <c r="A485" s="87" t="n"/>
      <c r="B485" s="91" t="n"/>
      <c r="C485" s="89">
        <f>IF(OR($A485="",$B485=""),"",IFERROR(VLOOKUP($B485,Employés!$A:$B,2,0),""))</f>
        <v/>
      </c>
      <c r="D485" s="93" t="n"/>
      <c r="E485" s="93" t="n"/>
      <c r="F485" s="93" t="n"/>
      <c r="G485" s="93" t="n"/>
      <c r="H485" s="93" t="n"/>
      <c r="I485" s="105">
        <f>IF($A485="","",SUM(D485:H485))</f>
        <v/>
      </c>
    </row>
    <row r="486" ht="15" customHeight="1" s="71">
      <c r="A486" s="87" t="n"/>
      <c r="B486" s="91" t="n"/>
      <c r="C486" s="89">
        <f>IF(OR($A486="",$B486=""),"",IFERROR(VLOOKUP($B486,Employés!$A:$B,2,0),""))</f>
        <v/>
      </c>
      <c r="D486" s="93" t="n"/>
      <c r="E486" s="93" t="n"/>
      <c r="F486" s="93" t="n"/>
      <c r="G486" s="93" t="n"/>
      <c r="H486" s="93" t="n"/>
      <c r="I486" s="105">
        <f>IF($A486="","",SUM(D486:H486))</f>
        <v/>
      </c>
    </row>
    <row r="487" ht="15" customHeight="1" s="71">
      <c r="A487" s="87" t="n"/>
      <c r="B487" s="91" t="n"/>
      <c r="C487" s="89">
        <f>IF(OR($A487="",$B487=""),"",IFERROR(VLOOKUP($B487,Employés!$A:$B,2,0),""))</f>
        <v/>
      </c>
      <c r="D487" s="93" t="n"/>
      <c r="E487" s="93" t="n"/>
      <c r="F487" s="93" t="n"/>
      <c r="G487" s="93" t="n"/>
      <c r="H487" s="93" t="n"/>
      <c r="I487" s="105">
        <f>IF($A487="","",SUM(D487:H487))</f>
        <v/>
      </c>
    </row>
    <row r="488" ht="15" customHeight="1" s="71">
      <c r="A488" s="87" t="n"/>
      <c r="B488" s="91" t="n"/>
      <c r="C488" s="89">
        <f>IF(OR($A488="",$B488=""),"",IFERROR(VLOOKUP($B488,Employés!$A:$B,2,0),""))</f>
        <v/>
      </c>
      <c r="D488" s="93" t="n"/>
      <c r="E488" s="93" t="n"/>
      <c r="F488" s="93" t="n"/>
      <c r="G488" s="93" t="n"/>
      <c r="H488" s="93" t="n"/>
      <c r="I488" s="105">
        <f>IF($A488="","",SUM(D488:H488))</f>
        <v/>
      </c>
    </row>
    <row r="489" ht="15" customHeight="1" s="71">
      <c r="A489" s="87" t="n"/>
      <c r="B489" s="91" t="n"/>
      <c r="C489" s="89">
        <f>IF(OR($A489="",$B489=""),"",IFERROR(VLOOKUP($B489,Employés!$A:$B,2,0),""))</f>
        <v/>
      </c>
      <c r="D489" s="93" t="n"/>
      <c r="E489" s="93" t="n"/>
      <c r="F489" s="93" t="n"/>
      <c r="G489" s="93" t="n"/>
      <c r="H489" s="93" t="n"/>
      <c r="I489" s="105">
        <f>IF($A489="","",SUM(D489:H489))</f>
        <v/>
      </c>
    </row>
    <row r="490" ht="15" customHeight="1" s="71">
      <c r="A490" s="87" t="n"/>
      <c r="B490" s="91" t="n"/>
      <c r="C490" s="89">
        <f>IF(OR($A490="",$B490=""),"",IFERROR(VLOOKUP($B490,Employés!$A:$B,2,0),""))</f>
        <v/>
      </c>
      <c r="D490" s="93" t="n"/>
      <c r="E490" s="93" t="n"/>
      <c r="F490" s="93" t="n"/>
      <c r="G490" s="93" t="n"/>
      <c r="H490" s="93" t="n"/>
      <c r="I490" s="105">
        <f>IF($A490="","",SUM(D490:H490))</f>
        <v/>
      </c>
    </row>
    <row r="491" ht="15" customHeight="1" s="71">
      <c r="A491" s="87" t="n"/>
      <c r="B491" s="91" t="n"/>
      <c r="C491" s="89">
        <f>IF(OR($A491="",$B491=""),"",IFERROR(VLOOKUP($B491,Employés!$A:$B,2,0),""))</f>
        <v/>
      </c>
      <c r="D491" s="93" t="n"/>
      <c r="E491" s="93" t="n"/>
      <c r="F491" s="93" t="n"/>
      <c r="G491" s="93" t="n"/>
      <c r="H491" s="93" t="n"/>
      <c r="I491" s="105">
        <f>IF($A491="","",SUM(D491:H491))</f>
        <v/>
      </c>
    </row>
    <row r="492" ht="15" customHeight="1" s="71">
      <c r="A492" s="87" t="n"/>
      <c r="B492" s="91" t="n"/>
      <c r="C492" s="89">
        <f>IF(OR($A492="",$B492=""),"",IFERROR(VLOOKUP($B492,Employés!$A:$B,2,0),""))</f>
        <v/>
      </c>
      <c r="D492" s="93" t="n"/>
      <c r="E492" s="93" t="n"/>
      <c r="F492" s="93" t="n"/>
      <c r="G492" s="93" t="n"/>
      <c r="H492" s="93" t="n"/>
      <c r="I492" s="105">
        <f>IF($A492="","",SUM(D492:H492))</f>
        <v/>
      </c>
    </row>
    <row r="493" ht="15" customHeight="1" s="71">
      <c r="A493" s="87" t="n"/>
      <c r="B493" s="91" t="n"/>
      <c r="C493" s="89">
        <f>IF(OR($A493="",$B493=""),"",IFERROR(VLOOKUP($B493,Employés!$A:$B,2,0),""))</f>
        <v/>
      </c>
      <c r="D493" s="93" t="n"/>
      <c r="E493" s="93" t="n"/>
      <c r="F493" s="93" t="n"/>
      <c r="G493" s="93" t="n"/>
      <c r="H493" s="93" t="n"/>
      <c r="I493" s="105">
        <f>IF($A493="","",SUM(D493:H493))</f>
        <v/>
      </c>
    </row>
    <row r="494" ht="15" customHeight="1" s="71">
      <c r="A494" s="87" t="n"/>
      <c r="B494" s="91" t="n"/>
      <c r="C494" s="89">
        <f>IF(OR($A494="",$B494=""),"",IFERROR(VLOOKUP($B494,Employés!$A:$B,2,0),""))</f>
        <v/>
      </c>
      <c r="D494" s="93" t="n"/>
      <c r="E494" s="93" t="n"/>
      <c r="F494" s="93" t="n"/>
      <c r="G494" s="93" t="n"/>
      <c r="H494" s="93" t="n"/>
      <c r="I494" s="105">
        <f>IF($A494="","",SUM(D494:H494))</f>
        <v/>
      </c>
    </row>
    <row r="495" ht="15" customHeight="1" s="71">
      <c r="A495" s="87" t="n"/>
      <c r="B495" s="91" t="n"/>
      <c r="C495" s="89">
        <f>IF(OR($A495="",$B495=""),"",IFERROR(VLOOKUP($B495,Employés!$A:$B,2,0),""))</f>
        <v/>
      </c>
      <c r="D495" s="93" t="n"/>
      <c r="E495" s="93" t="n"/>
      <c r="F495" s="93" t="n"/>
      <c r="G495" s="93" t="n"/>
      <c r="H495" s="93" t="n"/>
      <c r="I495" s="105">
        <f>IF($A495="","",SUM(D495:H495))</f>
        <v/>
      </c>
    </row>
    <row r="496" ht="15" customHeight="1" s="71">
      <c r="A496" s="87" t="n"/>
      <c r="B496" s="91" t="n"/>
      <c r="C496" s="89">
        <f>IF(OR($A496="",$B496=""),"",IFERROR(VLOOKUP($B496,Employés!$A:$B,2,0),""))</f>
        <v/>
      </c>
      <c r="D496" s="93" t="n"/>
      <c r="E496" s="93" t="n"/>
      <c r="F496" s="93" t="n"/>
      <c r="G496" s="93" t="n"/>
      <c r="H496" s="93" t="n"/>
      <c r="I496" s="105">
        <f>IF($A496="","",SUM(D496:H496))</f>
        <v/>
      </c>
    </row>
    <row r="497" ht="15" customHeight="1" s="71">
      <c r="A497" s="87" t="n"/>
      <c r="B497" s="91" t="n"/>
      <c r="C497" s="89">
        <f>IF(OR($A497="",$B497=""),"",IFERROR(VLOOKUP($B497,Employés!$A:$B,2,0),""))</f>
        <v/>
      </c>
      <c r="D497" s="93" t="n"/>
      <c r="E497" s="93" t="n"/>
      <c r="F497" s="93" t="n"/>
      <c r="G497" s="93" t="n"/>
      <c r="H497" s="93" t="n"/>
      <c r="I497" s="105">
        <f>IF($A497="","",SUM(D497:H497))</f>
        <v/>
      </c>
    </row>
    <row r="498" ht="15" customHeight="1" s="71">
      <c r="A498" s="87" t="n"/>
      <c r="B498" s="91" t="n"/>
      <c r="C498" s="89">
        <f>IF(OR($A498="",$B498=""),"",IFERROR(VLOOKUP($B498,Employés!$A:$B,2,0),""))</f>
        <v/>
      </c>
      <c r="D498" s="93" t="n"/>
      <c r="E498" s="93" t="n"/>
      <c r="F498" s="93" t="n"/>
      <c r="G498" s="93" t="n"/>
      <c r="H498" s="93" t="n"/>
      <c r="I498" s="105">
        <f>IF($A498="","",SUM(D498:H498))</f>
        <v/>
      </c>
    </row>
    <row r="499" ht="15" customHeight="1" s="71">
      <c r="A499" s="87" t="n"/>
      <c r="B499" s="91" t="n"/>
      <c r="C499" s="89">
        <f>IF(OR($A499="",$B499=""),"",IFERROR(VLOOKUP($B499,Employés!$A:$B,2,0),""))</f>
        <v/>
      </c>
      <c r="D499" s="93" t="n"/>
      <c r="E499" s="93" t="n"/>
      <c r="F499" s="93" t="n"/>
      <c r="G499" s="93" t="n"/>
      <c r="H499" s="93" t="n"/>
      <c r="I499" s="105">
        <f>IF($A499="","",SUM(D499:H499))</f>
        <v/>
      </c>
    </row>
    <row r="500" ht="15" customHeight="1" s="71">
      <c r="A500" s="87" t="n"/>
      <c r="B500" s="91" t="n"/>
      <c r="C500" s="89">
        <f>IF(OR($A500="",$B500=""),"",IFERROR(VLOOKUP($B500,Employés!$A:$B,2,0),""))</f>
        <v/>
      </c>
      <c r="D500" s="93" t="n"/>
      <c r="E500" s="93" t="n"/>
      <c r="F500" s="93" t="n"/>
      <c r="G500" s="93" t="n"/>
      <c r="H500" s="93" t="n"/>
      <c r="I500" s="105">
        <f>IF($A500="","",SUM(D500:H500))</f>
        <v/>
      </c>
    </row>
    <row r="501" ht="15" customHeight="1" s="71">
      <c r="A501" s="87" t="n"/>
      <c r="B501" s="91" t="n"/>
      <c r="C501" s="89">
        <f>IF(OR($A501="",$B501=""),"",IFERROR(VLOOKUP($B501,Employés!$A:$B,2,0),""))</f>
        <v/>
      </c>
      <c r="D501" s="93" t="n"/>
      <c r="E501" s="93" t="n"/>
      <c r="F501" s="93" t="n"/>
      <c r="G501" s="93" t="n"/>
      <c r="H501" s="93" t="n"/>
      <c r="I501" s="105">
        <f>IF($A501="","",SUM(D501:H501))</f>
        <v/>
      </c>
    </row>
    <row r="502" ht="15" customHeight="1" s="71">
      <c r="A502" s="87" t="n"/>
      <c r="B502" s="91" t="n"/>
      <c r="C502" s="89">
        <f>IF(OR($A502="",$B502=""),"",IFERROR(VLOOKUP($B502,Employés!$A:$B,2,0),""))</f>
        <v/>
      </c>
      <c r="D502" s="93" t="n"/>
      <c r="E502" s="93" t="n"/>
      <c r="F502" s="93" t="n"/>
      <c r="G502" s="93" t="n"/>
      <c r="H502" s="93" t="n"/>
      <c r="I502" s="105">
        <f>IF($A502="","",SUM(D502:H502))</f>
        <v/>
      </c>
    </row>
    <row r="503" ht="15" customHeight="1" s="71">
      <c r="A503" s="87" t="n"/>
      <c r="B503" s="91" t="n"/>
      <c r="C503" s="89">
        <f>IF(OR($A503="",$B503=""),"",IFERROR(VLOOKUP($B503,Employés!$A:$B,2,0),""))</f>
        <v/>
      </c>
      <c r="D503" s="93" t="n"/>
      <c r="E503" s="93" t="n"/>
      <c r="F503" s="93" t="n"/>
      <c r="G503" s="93" t="n"/>
      <c r="H503" s="93" t="n"/>
      <c r="I503" s="105">
        <f>IF($A503="","",SUM(D503:H503))</f>
        <v/>
      </c>
    </row>
    <row r="504" ht="15" customHeight="1" s="71">
      <c r="A504" s="87" t="n"/>
      <c r="B504" s="91" t="n"/>
      <c r="C504" s="89">
        <f>IF(OR($A504="",$B504=""),"",IFERROR(VLOOKUP($B504,Employés!$A:$B,2,0),""))</f>
        <v/>
      </c>
      <c r="D504" s="93" t="n"/>
      <c r="E504" s="93" t="n"/>
      <c r="F504" s="93" t="n"/>
      <c r="G504" s="93" t="n"/>
      <c r="H504" s="93" t="n"/>
      <c r="I504" s="105">
        <f>IF($A504="","",SUM(D504:H504))</f>
        <v/>
      </c>
    </row>
    <row r="505" ht="15" customHeight="1" s="71">
      <c r="A505" s="87" t="n"/>
      <c r="B505" s="91" t="n"/>
      <c r="C505" s="89">
        <f>IF(OR($A505="",$B505=""),"",IFERROR(VLOOKUP($B505,Employés!$A:$B,2,0),""))</f>
        <v/>
      </c>
      <c r="D505" s="93" t="n"/>
      <c r="E505" s="93" t="n"/>
      <c r="F505" s="93" t="n"/>
      <c r="G505" s="93" t="n"/>
      <c r="H505" s="93" t="n"/>
      <c r="I505" s="105">
        <f>IF($A505="","",SUM(D505:H505))</f>
        <v/>
      </c>
    </row>
    <row r="506" ht="15" customHeight="1" s="71">
      <c r="A506" s="87" t="n"/>
      <c r="B506" s="91" t="n"/>
      <c r="C506" s="89">
        <f>IF(OR($A506="",$B506=""),"",IFERROR(VLOOKUP($B506,Employés!$A:$B,2,0),""))</f>
        <v/>
      </c>
      <c r="D506" s="93" t="n"/>
      <c r="E506" s="93" t="n"/>
      <c r="F506" s="93" t="n"/>
      <c r="G506" s="93" t="n"/>
      <c r="H506" s="93" t="n"/>
      <c r="I506" s="105">
        <f>IF($A506="","",SUM(D506:H506))</f>
        <v/>
      </c>
    </row>
    <row r="507" ht="15" customHeight="1" s="71">
      <c r="A507" s="87" t="n"/>
      <c r="B507" s="91" t="n"/>
      <c r="C507" s="89">
        <f>IF(OR($A507="",$B507=""),"",IFERROR(VLOOKUP($B507,Employés!$A:$B,2,0),""))</f>
        <v/>
      </c>
      <c r="D507" s="93" t="n"/>
      <c r="E507" s="93" t="n"/>
      <c r="F507" s="93" t="n"/>
      <c r="G507" s="93" t="n"/>
      <c r="H507" s="93" t="n"/>
      <c r="I507" s="105">
        <f>IF($A507="","",SUM(D507:H507))</f>
        <v/>
      </c>
    </row>
    <row r="508" ht="15" customHeight="1" s="71">
      <c r="A508" s="87" t="n"/>
      <c r="B508" s="91" t="n"/>
      <c r="C508" s="89">
        <f>IF(OR($A508="",$B508=""),"",IFERROR(VLOOKUP($B508,Employés!$A:$B,2,0),""))</f>
        <v/>
      </c>
      <c r="D508" s="93" t="n"/>
      <c r="E508" s="93" t="n"/>
      <c r="F508" s="93" t="n"/>
      <c r="G508" s="93" t="n"/>
      <c r="H508" s="93" t="n"/>
      <c r="I508" s="105">
        <f>IF($A508="","",SUM(D508:H508))</f>
        <v/>
      </c>
    </row>
    <row r="509" ht="15" customHeight="1" s="71">
      <c r="A509" s="87" t="n"/>
      <c r="B509" s="91" t="n"/>
      <c r="C509" s="89">
        <f>IF(OR($A509="",$B509=""),"",IFERROR(VLOOKUP($B509,Employés!$A:$B,2,0),""))</f>
        <v/>
      </c>
      <c r="D509" s="93" t="n"/>
      <c r="E509" s="93" t="n"/>
      <c r="F509" s="93" t="n"/>
      <c r="G509" s="93" t="n"/>
      <c r="H509" s="93" t="n"/>
      <c r="I509" s="105">
        <f>IF($A509="","",SUM(D509:H509))</f>
        <v/>
      </c>
    </row>
    <row r="510" ht="15" customHeight="1" s="71">
      <c r="A510" s="87" t="n"/>
      <c r="B510" s="91" t="n"/>
      <c r="C510" s="89">
        <f>IF(OR($A510="",$B510=""),"",IFERROR(VLOOKUP($B510,Employés!$A:$B,2,0),""))</f>
        <v/>
      </c>
      <c r="D510" s="93" t="n"/>
      <c r="E510" s="93" t="n"/>
      <c r="F510" s="93" t="n"/>
      <c r="G510" s="93" t="n"/>
      <c r="H510" s="93" t="n"/>
      <c r="I510" s="105">
        <f>IF($A510="","",SUM(D510:H510))</f>
        <v/>
      </c>
    </row>
    <row r="511" ht="15" customHeight="1" s="71">
      <c r="A511" s="87" t="n"/>
      <c r="B511" s="91" t="n"/>
      <c r="C511" s="89">
        <f>IF(OR($A511="",$B511=""),"",IFERROR(VLOOKUP($B511,Employés!$A:$B,2,0),""))</f>
        <v/>
      </c>
      <c r="D511" s="93" t="n"/>
      <c r="E511" s="93" t="n"/>
      <c r="F511" s="93" t="n"/>
      <c r="G511" s="93" t="n"/>
      <c r="H511" s="93" t="n"/>
      <c r="I511" s="105">
        <f>IF($A511="","",SUM(D511:H511))</f>
        <v/>
      </c>
    </row>
    <row r="512" ht="15" customHeight="1" s="71">
      <c r="A512" s="87" t="n"/>
      <c r="B512" s="91" t="n"/>
      <c r="C512" s="89">
        <f>IF(OR($A512="",$B512=""),"",IFERROR(VLOOKUP($B512,Employés!$A:$B,2,0),""))</f>
        <v/>
      </c>
      <c r="D512" s="93" t="n"/>
      <c r="E512" s="93" t="n"/>
      <c r="F512" s="93" t="n"/>
      <c r="G512" s="93" t="n"/>
      <c r="H512" s="93" t="n"/>
      <c r="I512" s="105">
        <f>IF($A512="","",SUM(D512:H512))</f>
        <v/>
      </c>
    </row>
    <row r="513" ht="15" customHeight="1" s="71">
      <c r="A513" s="87" t="n"/>
      <c r="B513" s="91" t="n"/>
      <c r="C513" s="89">
        <f>IF(OR($A513="",$B513=""),"",IFERROR(VLOOKUP($B513,Employés!$A:$B,2,0),""))</f>
        <v/>
      </c>
      <c r="D513" s="93" t="n"/>
      <c r="E513" s="93" t="n"/>
      <c r="F513" s="93" t="n"/>
      <c r="G513" s="93" t="n"/>
      <c r="H513" s="93" t="n"/>
      <c r="I513" s="105">
        <f>IF($A513="","",SUM(D513:H513))</f>
        <v/>
      </c>
    </row>
    <row r="514" ht="15" customHeight="1" s="71">
      <c r="A514" s="87" t="n"/>
      <c r="B514" s="91" t="n"/>
      <c r="C514" s="89">
        <f>IF(OR($A514="",$B514=""),"",IFERROR(VLOOKUP($B514,Employés!$A:$B,2,0),""))</f>
        <v/>
      </c>
      <c r="D514" s="93" t="n"/>
      <c r="E514" s="93" t="n"/>
      <c r="F514" s="93" t="n"/>
      <c r="G514" s="93" t="n"/>
      <c r="H514" s="93" t="n"/>
      <c r="I514" s="105">
        <f>IF($A514="","",SUM(D514:H514))</f>
        <v/>
      </c>
    </row>
    <row r="515" ht="15" customHeight="1" s="71">
      <c r="A515" s="87" t="n"/>
      <c r="B515" s="91" t="n"/>
      <c r="C515" s="89">
        <f>IF(OR($A515="",$B515=""),"",IFERROR(VLOOKUP($B515,Employés!$A:$B,2,0),""))</f>
        <v/>
      </c>
      <c r="D515" s="93" t="n"/>
      <c r="E515" s="93" t="n"/>
      <c r="F515" s="93" t="n"/>
      <c r="G515" s="93" t="n"/>
      <c r="H515" s="93" t="n"/>
      <c r="I515" s="105">
        <f>IF($A515="","",SUM(D515:H515))</f>
        <v/>
      </c>
    </row>
    <row r="516" ht="15" customHeight="1" s="71">
      <c r="A516" s="87" t="n"/>
      <c r="B516" s="91" t="n"/>
      <c r="C516" s="89">
        <f>IF(OR($A516="",$B516=""),"",IFERROR(VLOOKUP($B516,Employés!$A:$B,2,0),""))</f>
        <v/>
      </c>
      <c r="D516" s="93" t="n"/>
      <c r="E516" s="93" t="n"/>
      <c r="F516" s="93" t="n"/>
      <c r="G516" s="93" t="n"/>
      <c r="H516" s="93" t="n"/>
      <c r="I516" s="105">
        <f>IF($A516="","",SUM(D516:H516))</f>
        <v/>
      </c>
    </row>
    <row r="517" ht="15" customHeight="1" s="71">
      <c r="A517" s="87" t="n"/>
      <c r="B517" s="91" t="n"/>
      <c r="C517" s="89">
        <f>IF(OR($A517="",$B517=""),"",IFERROR(VLOOKUP($B517,Employés!$A:$B,2,0),""))</f>
        <v/>
      </c>
      <c r="D517" s="93" t="n"/>
      <c r="E517" s="93" t="n"/>
      <c r="F517" s="93" t="n"/>
      <c r="G517" s="93" t="n"/>
      <c r="H517" s="93" t="n"/>
      <c r="I517" s="105">
        <f>IF($A517="","",SUM(D517:H517))</f>
        <v/>
      </c>
    </row>
    <row r="518" ht="15" customHeight="1" s="71">
      <c r="A518" s="87" t="n"/>
      <c r="B518" s="91" t="n"/>
      <c r="C518" s="89">
        <f>IF(OR($A518="",$B518=""),"",IFERROR(VLOOKUP($B518,Employés!$A:$B,2,0),""))</f>
        <v/>
      </c>
      <c r="D518" s="93" t="n"/>
      <c r="E518" s="93" t="n"/>
      <c r="F518" s="93" t="n"/>
      <c r="G518" s="93" t="n"/>
      <c r="H518" s="93" t="n"/>
      <c r="I518" s="105">
        <f>IF($A518="","",SUM(D518:H518))</f>
        <v/>
      </c>
    </row>
    <row r="519" ht="15" customHeight="1" s="71">
      <c r="A519" s="87" t="n"/>
      <c r="B519" s="91" t="n"/>
      <c r="C519" s="89">
        <f>IF(OR($A519="",$B519=""),"",IFERROR(VLOOKUP($B519,Employés!$A:$B,2,0),""))</f>
        <v/>
      </c>
      <c r="D519" s="93" t="n"/>
      <c r="E519" s="93" t="n"/>
      <c r="F519" s="93" t="n"/>
      <c r="G519" s="93" t="n"/>
      <c r="H519" s="93" t="n"/>
      <c r="I519" s="105">
        <f>IF($A519="","",SUM(D519:H519))</f>
        <v/>
      </c>
    </row>
    <row r="520" ht="15" customHeight="1" s="71">
      <c r="A520" s="87" t="n"/>
      <c r="B520" s="91" t="n"/>
      <c r="C520" s="89">
        <f>IF(OR($A520="",$B520=""),"",IFERROR(VLOOKUP($B520,Employés!$A:$B,2,0),""))</f>
        <v/>
      </c>
      <c r="D520" s="93" t="n"/>
      <c r="E520" s="93" t="n"/>
      <c r="F520" s="93" t="n"/>
      <c r="G520" s="93" t="n"/>
      <c r="H520" s="93" t="n"/>
      <c r="I520" s="105">
        <f>IF($A520="","",SUM(D520:H520))</f>
        <v/>
      </c>
    </row>
    <row r="521" ht="15" customHeight="1" s="71">
      <c r="A521" s="87" t="n"/>
      <c r="B521" s="91" t="n"/>
      <c r="C521" s="89">
        <f>IF(OR($A521="",$B521=""),"",IFERROR(VLOOKUP($B521,Employés!$A:$B,2,0),""))</f>
        <v/>
      </c>
      <c r="D521" s="93" t="n"/>
      <c r="E521" s="93" t="n"/>
      <c r="F521" s="93" t="n"/>
      <c r="G521" s="93" t="n"/>
      <c r="H521" s="93" t="n"/>
      <c r="I521" s="105">
        <f>IF($A521="","",SUM(D521:H521))</f>
        <v/>
      </c>
    </row>
    <row r="522" ht="15" customHeight="1" s="71">
      <c r="A522" s="87" t="n"/>
      <c r="B522" s="91" t="n"/>
      <c r="C522" s="89">
        <f>IF(OR($A522="",$B522=""),"",IFERROR(VLOOKUP($B522,Employés!$A:$B,2,0),""))</f>
        <v/>
      </c>
      <c r="D522" s="93" t="n"/>
      <c r="E522" s="93" t="n"/>
      <c r="F522" s="93" t="n"/>
      <c r="G522" s="93" t="n"/>
      <c r="H522" s="93" t="n"/>
      <c r="I522" s="105">
        <f>IF($A522="","",SUM(D522:H522))</f>
        <v/>
      </c>
    </row>
    <row r="523" ht="15" customHeight="1" s="71">
      <c r="A523" s="87" t="n"/>
      <c r="B523" s="91" t="n"/>
      <c r="C523" s="89">
        <f>IF(OR($A523="",$B523=""),"",IFERROR(VLOOKUP($B523,Employés!$A:$B,2,0),""))</f>
        <v/>
      </c>
      <c r="D523" s="93" t="n"/>
      <c r="E523" s="93" t="n"/>
      <c r="F523" s="93" t="n"/>
      <c r="G523" s="93" t="n"/>
      <c r="H523" s="93" t="n"/>
      <c r="I523" s="105">
        <f>IF($A523="","",SUM(D523:H523))</f>
        <v/>
      </c>
    </row>
    <row r="524" ht="15" customHeight="1" s="71">
      <c r="A524" s="87" t="n"/>
      <c r="B524" s="91" t="n"/>
      <c r="C524" s="89">
        <f>IF(OR($A524="",$B524=""),"",IFERROR(VLOOKUP($B524,Employés!$A:$B,2,0),""))</f>
        <v/>
      </c>
      <c r="D524" s="93" t="n"/>
      <c r="E524" s="93" t="n"/>
      <c r="F524" s="93" t="n"/>
      <c r="G524" s="93" t="n"/>
      <c r="H524" s="93" t="n"/>
      <c r="I524" s="105">
        <f>IF($A524="","",SUM(D524:H524))</f>
        <v/>
      </c>
    </row>
    <row r="525" ht="15" customHeight="1" s="71">
      <c r="A525" s="87" t="n"/>
      <c r="B525" s="91" t="n"/>
      <c r="C525" s="89">
        <f>IF(OR($A525="",$B525=""),"",IFERROR(VLOOKUP($B525,Employés!$A:$B,2,0),""))</f>
        <v/>
      </c>
      <c r="D525" s="93" t="n"/>
      <c r="E525" s="93" t="n"/>
      <c r="F525" s="93" t="n"/>
      <c r="G525" s="93" t="n"/>
      <c r="H525" s="93" t="n"/>
      <c r="I525" s="105">
        <f>IF($A525="","",SUM(D525:H525))</f>
        <v/>
      </c>
    </row>
    <row r="526" ht="15" customHeight="1" s="71">
      <c r="A526" s="87" t="n"/>
      <c r="B526" s="91" t="n"/>
      <c r="C526" s="89">
        <f>IF(OR($A526="",$B526=""),"",IFERROR(VLOOKUP($B526,Employés!$A:$B,2,0),""))</f>
        <v/>
      </c>
      <c r="D526" s="93" t="n"/>
      <c r="E526" s="93" t="n"/>
      <c r="F526" s="93" t="n"/>
      <c r="G526" s="93" t="n"/>
      <c r="H526" s="93" t="n"/>
      <c r="I526" s="105">
        <f>IF($A526="","",SUM(D526:H526))</f>
        <v/>
      </c>
    </row>
    <row r="527" ht="15" customHeight="1" s="71">
      <c r="A527" s="87" t="n"/>
      <c r="B527" s="91" t="n"/>
      <c r="C527" s="89">
        <f>IF(OR($A527="",$B527=""),"",IFERROR(VLOOKUP($B527,Employés!$A:$B,2,0),""))</f>
        <v/>
      </c>
      <c r="D527" s="93" t="n"/>
      <c r="E527" s="93" t="n"/>
      <c r="F527" s="93" t="n"/>
      <c r="G527" s="93" t="n"/>
      <c r="H527" s="93" t="n"/>
      <c r="I527" s="105">
        <f>IF($A527="","",SUM(D527:H527))</f>
        <v/>
      </c>
    </row>
    <row r="528" ht="15" customHeight="1" s="71">
      <c r="A528" s="87" t="n"/>
      <c r="B528" s="91" t="n"/>
      <c r="C528" s="89">
        <f>IF(OR($A528="",$B528=""),"",IFERROR(VLOOKUP($B528,Employés!$A:$B,2,0),""))</f>
        <v/>
      </c>
      <c r="D528" s="93" t="n"/>
      <c r="E528" s="93" t="n"/>
      <c r="F528" s="93" t="n"/>
      <c r="G528" s="93" t="n"/>
      <c r="H528" s="93" t="n"/>
      <c r="I528" s="105">
        <f>IF($A528="","",SUM(D528:H528))</f>
        <v/>
      </c>
    </row>
    <row r="529" ht="15" customHeight="1" s="71">
      <c r="A529" s="87" t="n"/>
      <c r="B529" s="91" t="n"/>
      <c r="C529" s="89">
        <f>IF(OR($A529="",$B529=""),"",IFERROR(VLOOKUP($B529,Employés!$A:$B,2,0),""))</f>
        <v/>
      </c>
      <c r="D529" s="93" t="n"/>
      <c r="E529" s="93" t="n"/>
      <c r="F529" s="93" t="n"/>
      <c r="G529" s="93" t="n"/>
      <c r="H529" s="93" t="n"/>
      <c r="I529" s="105">
        <f>IF($A529="","",SUM(D529:H529))</f>
        <v/>
      </c>
    </row>
    <row r="530" ht="15" customHeight="1" s="71">
      <c r="A530" s="87" t="n"/>
      <c r="B530" s="91" t="n"/>
      <c r="C530" s="89">
        <f>IF(OR($A530="",$B530=""),"",IFERROR(VLOOKUP($B530,Employés!$A:$B,2,0),""))</f>
        <v/>
      </c>
      <c r="D530" s="93" t="n"/>
      <c r="E530" s="93" t="n"/>
      <c r="F530" s="93" t="n"/>
      <c r="G530" s="93" t="n"/>
      <c r="H530" s="93" t="n"/>
      <c r="I530" s="105">
        <f>IF($A530="","",SUM(D530:H530))</f>
        <v/>
      </c>
    </row>
    <row r="531" ht="15" customHeight="1" s="71">
      <c r="A531" s="87" t="n"/>
      <c r="B531" s="91" t="n"/>
      <c r="C531" s="89">
        <f>IF(OR($A531="",$B531=""),"",IFERROR(VLOOKUP($B531,Employés!$A:$B,2,0),""))</f>
        <v/>
      </c>
      <c r="D531" s="93" t="n"/>
      <c r="E531" s="93" t="n"/>
      <c r="F531" s="93" t="n"/>
      <c r="G531" s="93" t="n"/>
      <c r="H531" s="93" t="n"/>
      <c r="I531" s="105">
        <f>IF($A531="","",SUM(D531:H531))</f>
        <v/>
      </c>
    </row>
    <row r="532" ht="15" customHeight="1" s="71">
      <c r="A532" s="87" t="n"/>
      <c r="B532" s="91" t="n"/>
      <c r="C532" s="89">
        <f>IF(OR($A532="",$B532=""),"",IFERROR(VLOOKUP($B532,Employés!$A:$B,2,0),""))</f>
        <v/>
      </c>
      <c r="D532" s="93" t="n"/>
      <c r="E532" s="93" t="n"/>
      <c r="F532" s="93" t="n"/>
      <c r="G532" s="93" t="n"/>
      <c r="H532" s="93" t="n"/>
      <c r="I532" s="105">
        <f>IF($A532="","",SUM(D532:H532))</f>
        <v/>
      </c>
    </row>
    <row r="533" ht="15" customHeight="1" s="71">
      <c r="A533" s="87" t="n"/>
      <c r="B533" s="91" t="n"/>
      <c r="C533" s="89">
        <f>IF(OR($A533="",$B533=""),"",IFERROR(VLOOKUP($B533,Employés!$A:$B,2,0),""))</f>
        <v/>
      </c>
      <c r="D533" s="93" t="n"/>
      <c r="E533" s="93" t="n"/>
      <c r="F533" s="93" t="n"/>
      <c r="G533" s="93" t="n"/>
      <c r="H533" s="93" t="n"/>
      <c r="I533" s="105">
        <f>IF($A533="","",SUM(D533:H533))</f>
        <v/>
      </c>
    </row>
    <row r="534" ht="15" customHeight="1" s="71">
      <c r="A534" s="87" t="n"/>
      <c r="B534" s="91" t="n"/>
      <c r="C534" s="89">
        <f>IF(OR($A534="",$B534=""),"",IFERROR(VLOOKUP($B534,Employés!$A:$B,2,0),""))</f>
        <v/>
      </c>
      <c r="D534" s="93" t="n"/>
      <c r="E534" s="93" t="n"/>
      <c r="F534" s="93" t="n"/>
      <c r="G534" s="93" t="n"/>
      <c r="H534" s="93" t="n"/>
      <c r="I534" s="105">
        <f>IF($A534="","",SUM(D534:H534))</f>
        <v/>
      </c>
    </row>
    <row r="535" ht="15" customHeight="1" s="71">
      <c r="A535" s="87" t="n"/>
      <c r="B535" s="91" t="n"/>
      <c r="C535" s="89">
        <f>IF(OR($A535="",$B535=""),"",IFERROR(VLOOKUP($B535,Employés!$A:$B,2,0),""))</f>
        <v/>
      </c>
      <c r="D535" s="93" t="n"/>
      <c r="E535" s="93" t="n"/>
      <c r="F535" s="93" t="n"/>
      <c r="G535" s="93" t="n"/>
      <c r="H535" s="93" t="n"/>
      <c r="I535" s="105">
        <f>IF($A535="","",SUM(D535:H535))</f>
        <v/>
      </c>
    </row>
    <row r="536" ht="15" customHeight="1" s="71">
      <c r="A536" s="87" t="n"/>
      <c r="B536" s="91" t="n"/>
      <c r="C536" s="89">
        <f>IF(OR($A536="",$B536=""),"",IFERROR(VLOOKUP($B536,Employés!$A:$B,2,0),""))</f>
        <v/>
      </c>
      <c r="D536" s="93" t="n"/>
      <c r="E536" s="93" t="n"/>
      <c r="F536" s="93" t="n"/>
      <c r="G536" s="93" t="n"/>
      <c r="H536" s="93" t="n"/>
      <c r="I536" s="105">
        <f>IF($A536="","",SUM(D536:H536))</f>
        <v/>
      </c>
    </row>
    <row r="537" ht="15" customHeight="1" s="71">
      <c r="A537" s="87" t="n"/>
      <c r="B537" s="91" t="n"/>
      <c r="C537" s="89">
        <f>IF(OR($A537="",$B537=""),"",IFERROR(VLOOKUP($B537,Employés!$A:$B,2,0),""))</f>
        <v/>
      </c>
      <c r="D537" s="93" t="n"/>
      <c r="E537" s="93" t="n"/>
      <c r="F537" s="93" t="n"/>
      <c r="G537" s="93" t="n"/>
      <c r="H537" s="93" t="n"/>
      <c r="I537" s="105">
        <f>IF($A537="","",SUM(D537:H537))</f>
        <v/>
      </c>
    </row>
    <row r="538" ht="15" customHeight="1" s="71">
      <c r="A538" s="87" t="n"/>
      <c r="B538" s="91" t="n"/>
      <c r="C538" s="89">
        <f>IF(OR($A538="",$B538=""),"",IFERROR(VLOOKUP($B538,Employés!$A:$B,2,0),""))</f>
        <v/>
      </c>
      <c r="D538" s="93" t="n"/>
      <c r="E538" s="93" t="n"/>
      <c r="F538" s="93" t="n"/>
      <c r="G538" s="93" t="n"/>
      <c r="H538" s="93" t="n"/>
      <c r="I538" s="105">
        <f>IF($A538="","",SUM(D538:H538))</f>
        <v/>
      </c>
    </row>
    <row r="539" ht="15" customHeight="1" s="71">
      <c r="A539" s="87" t="n"/>
      <c r="B539" s="91" t="n"/>
      <c r="C539" s="89">
        <f>IF(OR($A539="",$B539=""),"",IFERROR(VLOOKUP($B539,Employés!$A:$B,2,0),""))</f>
        <v/>
      </c>
      <c r="D539" s="93" t="n"/>
      <c r="E539" s="93" t="n"/>
      <c r="F539" s="93" t="n"/>
      <c r="G539" s="93" t="n"/>
      <c r="H539" s="93" t="n"/>
      <c r="I539" s="105">
        <f>IF($A539="","",SUM(D539:H539))</f>
        <v/>
      </c>
    </row>
    <row r="540" ht="15" customHeight="1" s="71">
      <c r="A540" s="87" t="n"/>
      <c r="B540" s="91" t="n"/>
      <c r="C540" s="89">
        <f>IF(OR($A540="",$B540=""),"",IFERROR(VLOOKUP($B540,Employés!$A:$B,2,0),""))</f>
        <v/>
      </c>
      <c r="D540" s="93" t="n"/>
      <c r="E540" s="93" t="n"/>
      <c r="F540" s="93" t="n"/>
      <c r="G540" s="93" t="n"/>
      <c r="H540" s="93" t="n"/>
      <c r="I540" s="105">
        <f>IF($A540="","",SUM(D540:H540))</f>
        <v/>
      </c>
    </row>
    <row r="541" ht="15" customHeight="1" s="71">
      <c r="A541" s="87" t="n"/>
      <c r="B541" s="91" t="n"/>
      <c r="C541" s="89">
        <f>IF(OR($A541="",$B541=""),"",IFERROR(VLOOKUP($B541,Employés!$A:$B,2,0),""))</f>
        <v/>
      </c>
      <c r="D541" s="93" t="n"/>
      <c r="E541" s="93" t="n"/>
      <c r="F541" s="93" t="n"/>
      <c r="G541" s="93" t="n"/>
      <c r="H541" s="93" t="n"/>
      <c r="I541" s="105">
        <f>IF($A541="","",SUM(D541:H541))</f>
        <v/>
      </c>
    </row>
    <row r="542" ht="15" customHeight="1" s="71">
      <c r="A542" s="87" t="n"/>
      <c r="B542" s="91" t="n"/>
      <c r="C542" s="89">
        <f>IF(OR($A542="",$B542=""),"",IFERROR(VLOOKUP($B542,Employés!$A:$B,2,0),""))</f>
        <v/>
      </c>
      <c r="D542" s="93" t="n"/>
      <c r="E542" s="93" t="n"/>
      <c r="F542" s="93" t="n"/>
      <c r="G542" s="93" t="n"/>
      <c r="H542" s="93" t="n"/>
      <c r="I542" s="105">
        <f>IF($A542="","",SUM(D542:H542))</f>
        <v/>
      </c>
    </row>
    <row r="543" ht="15" customHeight="1" s="71">
      <c r="A543" s="87" t="n"/>
      <c r="B543" s="91" t="n"/>
      <c r="C543" s="89">
        <f>IF(OR($A543="",$B543=""),"",IFERROR(VLOOKUP($B543,Employés!$A:$B,2,0),""))</f>
        <v/>
      </c>
      <c r="D543" s="93" t="n"/>
      <c r="E543" s="93" t="n"/>
      <c r="F543" s="93" t="n"/>
      <c r="G543" s="93" t="n"/>
      <c r="H543" s="93" t="n"/>
      <c r="I543" s="105">
        <f>IF($A543="","",SUM(D543:H543))</f>
        <v/>
      </c>
    </row>
    <row r="544" ht="15" customHeight="1" s="71">
      <c r="A544" s="87" t="n"/>
      <c r="B544" s="91" t="n"/>
      <c r="C544" s="89">
        <f>IF(OR($A544="",$B544=""),"",IFERROR(VLOOKUP($B544,Employés!$A:$B,2,0),""))</f>
        <v/>
      </c>
      <c r="D544" s="93" t="n"/>
      <c r="E544" s="93" t="n"/>
      <c r="F544" s="93" t="n"/>
      <c r="G544" s="93" t="n"/>
      <c r="H544" s="93" t="n"/>
      <c r="I544" s="105">
        <f>IF($A544="","",SUM(D544:H544))</f>
        <v/>
      </c>
    </row>
    <row r="545" ht="15" customHeight="1" s="71">
      <c r="A545" s="87" t="n"/>
      <c r="B545" s="91" t="n"/>
      <c r="C545" s="89">
        <f>IF(OR($A545="",$B545=""),"",IFERROR(VLOOKUP($B545,Employés!$A:$B,2,0),""))</f>
        <v/>
      </c>
      <c r="D545" s="93" t="n"/>
      <c r="E545" s="93" t="n"/>
      <c r="F545" s="93" t="n"/>
      <c r="G545" s="93" t="n"/>
      <c r="H545" s="93" t="n"/>
      <c r="I545" s="105">
        <f>IF($A545="","",SUM(D545:H545))</f>
        <v/>
      </c>
    </row>
    <row r="546" ht="15" customHeight="1" s="71">
      <c r="A546" s="87" t="n"/>
      <c r="B546" s="91" t="n"/>
      <c r="C546" s="89">
        <f>IF(OR($A546="",$B546=""),"",IFERROR(VLOOKUP($B546,Employés!$A:$B,2,0),""))</f>
        <v/>
      </c>
      <c r="D546" s="93" t="n"/>
      <c r="E546" s="93" t="n"/>
      <c r="F546" s="93" t="n"/>
      <c r="G546" s="93" t="n"/>
      <c r="H546" s="93" t="n"/>
      <c r="I546" s="105">
        <f>IF($A546="","",SUM(D546:H546))</f>
        <v/>
      </c>
    </row>
    <row r="547" ht="15" customHeight="1" s="71">
      <c r="A547" s="87" t="n"/>
      <c r="B547" s="91" t="n"/>
      <c r="C547" s="89">
        <f>IF(OR($A547="",$B547=""),"",IFERROR(VLOOKUP($B547,Employés!$A:$B,2,0),""))</f>
        <v/>
      </c>
      <c r="D547" s="93" t="n"/>
      <c r="E547" s="93" t="n"/>
      <c r="F547" s="93" t="n"/>
      <c r="G547" s="93" t="n"/>
      <c r="H547" s="93" t="n"/>
      <c r="I547" s="105">
        <f>IF($A547="","",SUM(D547:H547))</f>
        <v/>
      </c>
    </row>
    <row r="548" ht="15" customHeight="1" s="71">
      <c r="A548" s="87" t="n"/>
      <c r="B548" s="91" t="n"/>
      <c r="C548" s="89">
        <f>IF(OR($A548="",$B548=""),"",IFERROR(VLOOKUP($B548,Employés!$A:$B,2,0),""))</f>
        <v/>
      </c>
      <c r="D548" s="93" t="n"/>
      <c r="E548" s="93" t="n"/>
      <c r="F548" s="93" t="n"/>
      <c r="G548" s="93" t="n"/>
      <c r="H548" s="93" t="n"/>
      <c r="I548" s="105">
        <f>IF($A548="","",SUM(D548:H548))</f>
        <v/>
      </c>
    </row>
    <row r="549" ht="15" customHeight="1" s="71">
      <c r="A549" s="87" t="n"/>
      <c r="B549" s="91" t="n"/>
      <c r="C549" s="89">
        <f>IF(OR($A549="",$B549=""),"",IFERROR(VLOOKUP($B549,Employés!$A:$B,2,0),""))</f>
        <v/>
      </c>
      <c r="D549" s="93" t="n"/>
      <c r="E549" s="93" t="n"/>
      <c r="F549" s="93" t="n"/>
      <c r="G549" s="93" t="n"/>
      <c r="H549" s="93" t="n"/>
      <c r="I549" s="105">
        <f>IF($A549="","",SUM(D549:H549))</f>
        <v/>
      </c>
    </row>
    <row r="550" ht="15" customHeight="1" s="71">
      <c r="A550" s="87" t="n"/>
      <c r="B550" s="91" t="n"/>
      <c r="C550" s="89">
        <f>IF(OR($A550="",$B550=""),"",IFERROR(VLOOKUP($B550,Employés!$A:$B,2,0),""))</f>
        <v/>
      </c>
      <c r="D550" s="93" t="n"/>
      <c r="E550" s="93" t="n"/>
      <c r="F550" s="93" t="n"/>
      <c r="G550" s="93" t="n"/>
      <c r="H550" s="93" t="n"/>
      <c r="I550" s="105">
        <f>IF($A550="","",SUM(D550:H550))</f>
        <v/>
      </c>
    </row>
    <row r="551" ht="15" customHeight="1" s="71">
      <c r="A551" s="87" t="n"/>
      <c r="B551" s="91" t="n"/>
      <c r="C551" s="89">
        <f>IF(OR($A551="",$B551=""),"",IFERROR(VLOOKUP($B551,Employés!$A:$B,2,0),""))</f>
        <v/>
      </c>
      <c r="D551" s="93" t="n"/>
      <c r="E551" s="93" t="n"/>
      <c r="F551" s="93" t="n"/>
      <c r="G551" s="93" t="n"/>
      <c r="H551" s="93" t="n"/>
      <c r="I551" s="105">
        <f>IF($A551="","",SUM(D551:H551))</f>
        <v/>
      </c>
    </row>
    <row r="552" ht="15" customHeight="1" s="71">
      <c r="A552" s="87" t="n"/>
      <c r="B552" s="91" t="n"/>
      <c r="C552" s="89">
        <f>IF(OR($A552="",$B552=""),"",IFERROR(VLOOKUP($B552,Employés!$A:$B,2,0),""))</f>
        <v/>
      </c>
      <c r="D552" s="93" t="n"/>
      <c r="E552" s="93" t="n"/>
      <c r="F552" s="93" t="n"/>
      <c r="G552" s="93" t="n"/>
      <c r="H552" s="93" t="n"/>
      <c r="I552" s="105">
        <f>IF($A552="","",SUM(D552:H552))</f>
        <v/>
      </c>
    </row>
    <row r="553" ht="15" customHeight="1" s="71">
      <c r="A553" s="87" t="n"/>
      <c r="B553" s="91" t="n"/>
      <c r="C553" s="89">
        <f>IF(OR($A553="",$B553=""),"",IFERROR(VLOOKUP($B553,Employés!$A:$B,2,0),""))</f>
        <v/>
      </c>
      <c r="D553" s="93" t="n"/>
      <c r="E553" s="93" t="n"/>
      <c r="F553" s="93" t="n"/>
      <c r="G553" s="93" t="n"/>
      <c r="H553" s="93" t="n"/>
      <c r="I553" s="105">
        <f>IF($A553="","",SUM(D553:H553))</f>
        <v/>
      </c>
    </row>
    <row r="554" ht="15" customHeight="1" s="71">
      <c r="A554" s="87" t="n"/>
      <c r="B554" s="91" t="n"/>
      <c r="C554" s="89">
        <f>IF(OR($A554="",$B554=""),"",IFERROR(VLOOKUP($B554,Employés!$A:$B,2,0),""))</f>
        <v/>
      </c>
      <c r="D554" s="93" t="n"/>
      <c r="E554" s="93" t="n"/>
      <c r="F554" s="93" t="n"/>
      <c r="G554" s="93" t="n"/>
      <c r="H554" s="93" t="n"/>
      <c r="I554" s="105">
        <f>IF($A554="","",SUM(D554:H554))</f>
        <v/>
      </c>
    </row>
    <row r="555" ht="15" customHeight="1" s="71">
      <c r="A555" s="87" t="n"/>
      <c r="B555" s="91" t="n"/>
      <c r="C555" s="89">
        <f>IF(OR($A555="",$B555=""),"",IFERROR(VLOOKUP($B555,Employés!$A:$B,2,0),""))</f>
        <v/>
      </c>
      <c r="D555" s="93" t="n"/>
      <c r="E555" s="93" t="n"/>
      <c r="F555" s="93" t="n"/>
      <c r="G555" s="93" t="n"/>
      <c r="H555" s="93" t="n"/>
      <c r="I555" s="105">
        <f>IF($A555="","",SUM(D555:H555))</f>
        <v/>
      </c>
    </row>
    <row r="556" ht="15" customHeight="1" s="71">
      <c r="A556" s="87" t="n"/>
      <c r="B556" s="91" t="n"/>
      <c r="C556" s="89">
        <f>IF(OR($A556="",$B556=""),"",IFERROR(VLOOKUP($B556,Employés!$A:$B,2,0),""))</f>
        <v/>
      </c>
      <c r="D556" s="93" t="n"/>
      <c r="E556" s="93" t="n"/>
      <c r="F556" s="93" t="n"/>
      <c r="G556" s="93" t="n"/>
      <c r="H556" s="93" t="n"/>
      <c r="I556" s="105">
        <f>IF($A556="","",SUM(D556:H556))</f>
        <v/>
      </c>
    </row>
    <row r="557" ht="15" customHeight="1" s="71">
      <c r="A557" s="87" t="n"/>
      <c r="B557" s="91" t="n"/>
      <c r="C557" s="89">
        <f>IF(OR($A557="",$B557=""),"",IFERROR(VLOOKUP($B557,Employés!$A:$B,2,0),""))</f>
        <v/>
      </c>
      <c r="D557" s="93" t="n"/>
      <c r="E557" s="93" t="n"/>
      <c r="F557" s="93" t="n"/>
      <c r="G557" s="93" t="n"/>
      <c r="H557" s="93" t="n"/>
      <c r="I557" s="105">
        <f>IF($A557="","",SUM(D557:H557))</f>
        <v/>
      </c>
    </row>
    <row r="558" ht="15" customHeight="1" s="71">
      <c r="A558" s="87" t="n"/>
      <c r="B558" s="91" t="n"/>
      <c r="C558" s="89">
        <f>IF(OR($A558="",$B558=""),"",IFERROR(VLOOKUP($B558,Employés!$A:$B,2,0),""))</f>
        <v/>
      </c>
      <c r="D558" s="93" t="n"/>
      <c r="E558" s="93" t="n"/>
      <c r="F558" s="93" t="n"/>
      <c r="G558" s="93" t="n"/>
      <c r="H558" s="93" t="n"/>
      <c r="I558" s="105">
        <f>IF($A558="","",SUM(D558:H558))</f>
        <v/>
      </c>
    </row>
    <row r="559" ht="15" customHeight="1" s="71">
      <c r="A559" s="87" t="n"/>
      <c r="B559" s="91" t="n"/>
      <c r="C559" s="89">
        <f>IF(OR($A559="",$B559=""),"",IFERROR(VLOOKUP($B559,Employés!$A:$B,2,0),""))</f>
        <v/>
      </c>
      <c r="D559" s="93" t="n"/>
      <c r="E559" s="93" t="n"/>
      <c r="F559" s="93" t="n"/>
      <c r="G559" s="93" t="n"/>
      <c r="H559" s="93" t="n"/>
      <c r="I559" s="105">
        <f>IF($A559="","",SUM(D559:H559))</f>
        <v/>
      </c>
    </row>
    <row r="560" ht="15" customHeight="1" s="71">
      <c r="A560" s="87" t="n"/>
      <c r="B560" s="91" t="n"/>
      <c r="C560" s="89">
        <f>IF(OR($A560="",$B560=""),"",IFERROR(VLOOKUP($B560,Employés!$A:$B,2,0),""))</f>
        <v/>
      </c>
      <c r="D560" s="93" t="n"/>
      <c r="E560" s="93" t="n"/>
      <c r="F560" s="93" t="n"/>
      <c r="G560" s="93" t="n"/>
      <c r="H560" s="93" t="n"/>
      <c r="I560" s="105">
        <f>IF($A560="","",SUM(D560:H560))</f>
        <v/>
      </c>
    </row>
    <row r="561" ht="15" customHeight="1" s="71">
      <c r="A561" s="87" t="n"/>
      <c r="B561" s="91" t="n"/>
      <c r="C561" s="89">
        <f>IF(OR($A561="",$B561=""),"",IFERROR(VLOOKUP($B561,Employés!$A:$B,2,0),""))</f>
        <v/>
      </c>
      <c r="D561" s="93" t="n"/>
      <c r="E561" s="93" t="n"/>
      <c r="F561" s="93" t="n"/>
      <c r="G561" s="93" t="n"/>
      <c r="H561" s="93" t="n"/>
      <c r="I561" s="105">
        <f>IF($A561="","",SUM(D561:H561))</f>
        <v/>
      </c>
    </row>
    <row r="562" ht="15" customHeight="1" s="71">
      <c r="A562" s="87" t="n"/>
      <c r="B562" s="91" t="n"/>
      <c r="C562" s="89">
        <f>IF(OR($A562="",$B562=""),"",IFERROR(VLOOKUP($B562,Employés!$A:$B,2,0),""))</f>
        <v/>
      </c>
      <c r="D562" s="93" t="n"/>
      <c r="E562" s="93" t="n"/>
      <c r="F562" s="93" t="n"/>
      <c r="G562" s="93" t="n"/>
      <c r="H562" s="93" t="n"/>
      <c r="I562" s="105">
        <f>IF($A562="","",SUM(D562:H562))</f>
        <v/>
      </c>
    </row>
    <row r="563" ht="15" customHeight="1" s="71">
      <c r="A563" s="87" t="n"/>
      <c r="B563" s="91" t="n"/>
      <c r="C563" s="89">
        <f>IF(OR($A563="",$B563=""),"",IFERROR(VLOOKUP($B563,Employés!$A:$B,2,0),""))</f>
        <v/>
      </c>
      <c r="D563" s="93" t="n"/>
      <c r="E563" s="93" t="n"/>
      <c r="F563" s="93" t="n"/>
      <c r="G563" s="93" t="n"/>
      <c r="H563" s="93" t="n"/>
      <c r="I563" s="105">
        <f>IF($A563="","",SUM(D563:H563))</f>
        <v/>
      </c>
    </row>
    <row r="564" ht="15" customHeight="1" s="71">
      <c r="A564" s="87" t="n"/>
      <c r="B564" s="91" t="n"/>
      <c r="C564" s="89">
        <f>IF(OR($A564="",$B564=""),"",IFERROR(VLOOKUP($B564,Employés!$A:$B,2,0),""))</f>
        <v/>
      </c>
      <c r="D564" s="93" t="n"/>
      <c r="E564" s="93" t="n"/>
      <c r="F564" s="93" t="n"/>
      <c r="G564" s="93" t="n"/>
      <c r="H564" s="93" t="n"/>
      <c r="I564" s="105">
        <f>IF($A564="","",SUM(D564:H564))</f>
        <v/>
      </c>
    </row>
    <row r="565" ht="15" customHeight="1" s="71">
      <c r="A565" s="87" t="n"/>
      <c r="B565" s="91" t="n"/>
      <c r="C565" s="89">
        <f>IF(OR($A565="",$B565=""),"",IFERROR(VLOOKUP($B565,Employés!$A:$B,2,0),""))</f>
        <v/>
      </c>
      <c r="D565" s="93" t="n"/>
      <c r="E565" s="93" t="n"/>
      <c r="F565" s="93" t="n"/>
      <c r="G565" s="93" t="n"/>
      <c r="H565" s="93" t="n"/>
      <c r="I565" s="105">
        <f>IF($A565="","",SUM(D565:H565))</f>
        <v/>
      </c>
    </row>
    <row r="566" ht="15" customHeight="1" s="71">
      <c r="A566" s="87" t="n"/>
      <c r="B566" s="91" t="n"/>
      <c r="C566" s="89">
        <f>IF(OR($A566="",$B566=""),"",IFERROR(VLOOKUP($B566,Employés!$A:$B,2,0),""))</f>
        <v/>
      </c>
      <c r="D566" s="93" t="n"/>
      <c r="E566" s="93" t="n"/>
      <c r="F566" s="93" t="n"/>
      <c r="G566" s="93" t="n"/>
      <c r="H566" s="93" t="n"/>
      <c r="I566" s="105">
        <f>IF($A566="","",SUM(D566:H566))</f>
        <v/>
      </c>
    </row>
    <row r="567" ht="15" customHeight="1" s="71">
      <c r="A567" s="87" t="n"/>
      <c r="B567" s="91" t="n"/>
      <c r="C567" s="89">
        <f>IF(OR($A567="",$B567=""),"",IFERROR(VLOOKUP($B567,Employés!$A:$B,2,0),""))</f>
        <v/>
      </c>
      <c r="D567" s="93" t="n"/>
      <c r="E567" s="93" t="n"/>
      <c r="F567" s="93" t="n"/>
      <c r="G567" s="93" t="n"/>
      <c r="H567" s="93" t="n"/>
      <c r="I567" s="105">
        <f>IF($A567="","",SUM(D567:H567))</f>
        <v/>
      </c>
    </row>
    <row r="568" ht="15" customHeight="1" s="71">
      <c r="A568" s="87" t="n"/>
      <c r="B568" s="91" t="n"/>
      <c r="C568" s="89">
        <f>IF(OR($A568="",$B568=""),"",IFERROR(VLOOKUP($B568,Employés!$A:$B,2,0),""))</f>
        <v/>
      </c>
      <c r="D568" s="93" t="n"/>
      <c r="E568" s="93" t="n"/>
      <c r="F568" s="93" t="n"/>
      <c r="G568" s="93" t="n"/>
      <c r="H568" s="93" t="n"/>
      <c r="I568" s="105">
        <f>IF($A568="","",SUM(D568:H568))</f>
        <v/>
      </c>
    </row>
    <row r="569" ht="15" customHeight="1" s="71">
      <c r="A569" s="87" t="n"/>
      <c r="B569" s="91" t="n"/>
      <c r="C569" s="89">
        <f>IF(OR($A569="",$B569=""),"",IFERROR(VLOOKUP($B569,Employés!$A:$B,2,0),""))</f>
        <v/>
      </c>
      <c r="D569" s="93" t="n"/>
      <c r="E569" s="93" t="n"/>
      <c r="F569" s="93" t="n"/>
      <c r="G569" s="93" t="n"/>
      <c r="H569" s="93" t="n"/>
      <c r="I569" s="105">
        <f>IF($A569="","",SUM(D569:H569))</f>
        <v/>
      </c>
    </row>
    <row r="570" ht="15" customHeight="1" s="71">
      <c r="A570" s="87" t="n"/>
      <c r="B570" s="91" t="n"/>
      <c r="C570" s="89">
        <f>IF(OR($A570="",$B570=""),"",IFERROR(VLOOKUP($B570,Employés!$A:$B,2,0),""))</f>
        <v/>
      </c>
      <c r="D570" s="93" t="n"/>
      <c r="E570" s="93" t="n"/>
      <c r="F570" s="93" t="n"/>
      <c r="G570" s="93" t="n"/>
      <c r="H570" s="93" t="n"/>
      <c r="I570" s="105">
        <f>IF($A570="","",SUM(D570:H570))</f>
        <v/>
      </c>
    </row>
    <row r="571" ht="15" customHeight="1" s="71">
      <c r="A571" s="87" t="n"/>
      <c r="B571" s="91" t="n"/>
      <c r="C571" s="89">
        <f>IF(OR($A571="",$B571=""),"",IFERROR(VLOOKUP($B571,Employés!$A:$B,2,0),""))</f>
        <v/>
      </c>
      <c r="D571" s="93" t="n"/>
      <c r="E571" s="93" t="n"/>
      <c r="F571" s="93" t="n"/>
      <c r="G571" s="93" t="n"/>
      <c r="H571" s="93" t="n"/>
      <c r="I571" s="105">
        <f>IF($A571="","",SUM(D571:H571))</f>
        <v/>
      </c>
    </row>
    <row r="572" ht="15" customHeight="1" s="71">
      <c r="A572" s="87" t="n"/>
      <c r="B572" s="91" t="n"/>
      <c r="C572" s="89">
        <f>IF(OR($A572="",$B572=""),"",IFERROR(VLOOKUP($B572,Employés!$A:$B,2,0),""))</f>
        <v/>
      </c>
      <c r="D572" s="93" t="n"/>
      <c r="E572" s="93" t="n"/>
      <c r="F572" s="93" t="n"/>
      <c r="G572" s="93" t="n"/>
      <c r="H572" s="93" t="n"/>
      <c r="I572" s="105">
        <f>IF($A572="","",SUM(D572:H572))</f>
        <v/>
      </c>
    </row>
    <row r="573" ht="15" customHeight="1" s="71">
      <c r="A573" s="87" t="n"/>
      <c r="B573" s="91" t="n"/>
      <c r="C573" s="89">
        <f>IF(OR($A573="",$B573=""),"",IFERROR(VLOOKUP($B573,Employés!$A:$B,2,0),""))</f>
        <v/>
      </c>
      <c r="D573" s="93" t="n"/>
      <c r="E573" s="93" t="n"/>
      <c r="F573" s="93" t="n"/>
      <c r="G573" s="93" t="n"/>
      <c r="H573" s="93" t="n"/>
      <c r="I573" s="105">
        <f>IF($A573="","",SUM(D573:H573))</f>
        <v/>
      </c>
    </row>
    <row r="574" ht="15" customHeight="1" s="71">
      <c r="A574" s="87" t="n"/>
      <c r="B574" s="91" t="n"/>
      <c r="C574" s="89">
        <f>IF(OR($A574="",$B574=""),"",IFERROR(VLOOKUP($B574,Employés!$A:$B,2,0),""))</f>
        <v/>
      </c>
      <c r="D574" s="93" t="n"/>
      <c r="E574" s="93" t="n"/>
      <c r="F574" s="93" t="n"/>
      <c r="G574" s="93" t="n"/>
      <c r="H574" s="93" t="n"/>
      <c r="I574" s="105">
        <f>IF($A574="","",SUM(D574:H574))</f>
        <v/>
      </c>
    </row>
    <row r="575" ht="15" customHeight="1" s="71">
      <c r="A575" s="87" t="n"/>
      <c r="B575" s="91" t="n"/>
      <c r="C575" s="89">
        <f>IF(OR($A575="",$B575=""),"",IFERROR(VLOOKUP($B575,Employés!$A:$B,2,0),""))</f>
        <v/>
      </c>
      <c r="D575" s="93" t="n"/>
      <c r="E575" s="93" t="n"/>
      <c r="F575" s="93" t="n"/>
      <c r="G575" s="93" t="n"/>
      <c r="H575" s="93" t="n"/>
      <c r="I575" s="105">
        <f>IF($A575="","",SUM(D575:H575))</f>
        <v/>
      </c>
    </row>
    <row r="576" ht="15" customHeight="1" s="71">
      <c r="A576" s="87" t="n"/>
      <c r="B576" s="91" t="n"/>
      <c r="C576" s="89">
        <f>IF(OR($A576="",$B576=""),"",IFERROR(VLOOKUP($B576,Employés!$A:$B,2,0),""))</f>
        <v/>
      </c>
      <c r="D576" s="93" t="n"/>
      <c r="E576" s="93" t="n"/>
      <c r="F576" s="93" t="n"/>
      <c r="G576" s="93" t="n"/>
      <c r="H576" s="93" t="n"/>
      <c r="I576" s="105">
        <f>IF($A576="","",SUM(D576:H576))</f>
        <v/>
      </c>
    </row>
    <row r="577" ht="15" customHeight="1" s="71">
      <c r="A577" s="87" t="n"/>
      <c r="B577" s="91" t="n"/>
      <c r="C577" s="89">
        <f>IF(OR($A577="",$B577=""),"",IFERROR(VLOOKUP($B577,Employés!$A:$B,2,0),""))</f>
        <v/>
      </c>
      <c r="D577" s="93" t="n"/>
      <c r="E577" s="93" t="n"/>
      <c r="F577" s="93" t="n"/>
      <c r="G577" s="93" t="n"/>
      <c r="H577" s="93" t="n"/>
      <c r="I577" s="105">
        <f>IF($A577="","",SUM(D577:H577))</f>
        <v/>
      </c>
    </row>
    <row r="578" ht="15" customHeight="1" s="71">
      <c r="A578" s="87" t="n"/>
      <c r="B578" s="91" t="n"/>
      <c r="C578" s="89">
        <f>IF(OR($A578="",$B578=""),"",IFERROR(VLOOKUP($B578,Employés!$A:$B,2,0),""))</f>
        <v/>
      </c>
      <c r="D578" s="93" t="n"/>
      <c r="E578" s="93" t="n"/>
      <c r="F578" s="93" t="n"/>
      <c r="G578" s="93" t="n"/>
      <c r="H578" s="93" t="n"/>
      <c r="I578" s="105">
        <f>IF($A578="","",SUM(D578:H578))</f>
        <v/>
      </c>
    </row>
    <row r="579" ht="15" customHeight="1" s="71">
      <c r="A579" s="87" t="n"/>
      <c r="B579" s="91" t="n"/>
      <c r="C579" s="89">
        <f>IF(OR($A579="",$B579=""),"",IFERROR(VLOOKUP($B579,Employés!$A:$B,2,0),""))</f>
        <v/>
      </c>
      <c r="D579" s="93" t="n"/>
      <c r="E579" s="93" t="n"/>
      <c r="F579" s="93" t="n"/>
      <c r="G579" s="93" t="n"/>
      <c r="H579" s="93" t="n"/>
      <c r="I579" s="105">
        <f>IF($A579="","",SUM(D579:H579))</f>
        <v/>
      </c>
    </row>
    <row r="580" ht="15" customHeight="1" s="71">
      <c r="A580" s="87" t="n"/>
      <c r="B580" s="91" t="n"/>
      <c r="C580" s="89">
        <f>IF(OR($A580="",$B580=""),"",IFERROR(VLOOKUP($B580,Employés!$A:$B,2,0),""))</f>
        <v/>
      </c>
      <c r="D580" s="93" t="n"/>
      <c r="E580" s="93" t="n"/>
      <c r="F580" s="93" t="n"/>
      <c r="G580" s="93" t="n"/>
      <c r="H580" s="93" t="n"/>
      <c r="I580" s="105">
        <f>IF($A580="","",SUM(D580:H580))</f>
        <v/>
      </c>
    </row>
    <row r="581" ht="15" customHeight="1" s="71">
      <c r="A581" s="87" t="n"/>
      <c r="B581" s="91" t="n"/>
      <c r="C581" s="89">
        <f>IF(OR($A581="",$B581=""),"",IFERROR(VLOOKUP($B581,Employés!$A:$B,2,0),""))</f>
        <v/>
      </c>
      <c r="D581" s="93" t="n"/>
      <c r="E581" s="93" t="n"/>
      <c r="F581" s="93" t="n"/>
      <c r="G581" s="93" t="n"/>
      <c r="H581" s="93" t="n"/>
      <c r="I581" s="105">
        <f>IF($A581="","",SUM(D581:H581))</f>
        <v/>
      </c>
    </row>
    <row r="582" ht="15" customHeight="1" s="71">
      <c r="A582" s="87" t="n"/>
      <c r="B582" s="91" t="n"/>
      <c r="C582" s="89">
        <f>IF(OR($A582="",$B582=""),"",IFERROR(VLOOKUP($B582,Employés!$A:$B,2,0),""))</f>
        <v/>
      </c>
      <c r="D582" s="93" t="n"/>
      <c r="E582" s="93" t="n"/>
      <c r="F582" s="93" t="n"/>
      <c r="G582" s="93" t="n"/>
      <c r="H582" s="93" t="n"/>
      <c r="I582" s="105">
        <f>IF($A582="","",SUM(D582:H582))</f>
        <v/>
      </c>
    </row>
    <row r="583" ht="15" customHeight="1" s="71">
      <c r="A583" s="87" t="n"/>
      <c r="B583" s="91" t="n"/>
      <c r="C583" s="89">
        <f>IF(OR($A583="",$B583=""),"",IFERROR(VLOOKUP($B583,Employés!$A:$B,2,0),""))</f>
        <v/>
      </c>
      <c r="D583" s="93" t="n"/>
      <c r="E583" s="93" t="n"/>
      <c r="F583" s="93" t="n"/>
      <c r="G583" s="93" t="n"/>
      <c r="H583" s="93" t="n"/>
      <c r="I583" s="105">
        <f>IF($A583="","",SUM(D583:H583))</f>
        <v/>
      </c>
    </row>
    <row r="584" ht="15" customHeight="1" s="71">
      <c r="A584" s="87" t="n"/>
      <c r="B584" s="91" t="n"/>
      <c r="C584" s="89">
        <f>IF(OR($A584="",$B584=""),"",IFERROR(VLOOKUP($B584,Employés!$A:$B,2,0),""))</f>
        <v/>
      </c>
      <c r="D584" s="93" t="n"/>
      <c r="E584" s="93" t="n"/>
      <c r="F584" s="93" t="n"/>
      <c r="G584" s="93" t="n"/>
      <c r="H584" s="93" t="n"/>
      <c r="I584" s="105">
        <f>IF($A584="","",SUM(D584:H584))</f>
        <v/>
      </c>
    </row>
    <row r="585" ht="15" customHeight="1" s="71">
      <c r="A585" s="87" t="n"/>
      <c r="B585" s="91" t="n"/>
      <c r="C585" s="89">
        <f>IF(OR($A585="",$B585=""),"",IFERROR(VLOOKUP($B585,Employés!$A:$B,2,0),""))</f>
        <v/>
      </c>
      <c r="D585" s="93" t="n"/>
      <c r="E585" s="93" t="n"/>
      <c r="F585" s="93" t="n"/>
      <c r="G585" s="93" t="n"/>
      <c r="H585" s="93" t="n"/>
      <c r="I585" s="105">
        <f>IF($A585="","",SUM(D585:H585))</f>
        <v/>
      </c>
    </row>
    <row r="586" ht="15" customHeight="1" s="71">
      <c r="A586" s="87" t="n"/>
      <c r="B586" s="91" t="n"/>
      <c r="C586" s="89">
        <f>IF(OR($A586="",$B586=""),"",IFERROR(VLOOKUP($B586,Employés!$A:$B,2,0),""))</f>
        <v/>
      </c>
      <c r="D586" s="93" t="n"/>
      <c r="E586" s="93" t="n"/>
      <c r="F586" s="93" t="n"/>
      <c r="G586" s="93" t="n"/>
      <c r="H586" s="93" t="n"/>
      <c r="I586" s="105">
        <f>IF($A586="","",SUM(D586:H586))</f>
        <v/>
      </c>
    </row>
    <row r="587" ht="15" customHeight="1" s="71">
      <c r="A587" s="87" t="n"/>
      <c r="B587" s="91" t="n"/>
      <c r="C587" s="89">
        <f>IF(OR($A587="",$B587=""),"",IFERROR(VLOOKUP($B587,Employés!$A:$B,2,0),""))</f>
        <v/>
      </c>
      <c r="D587" s="93" t="n"/>
      <c r="E587" s="93" t="n"/>
      <c r="F587" s="93" t="n"/>
      <c r="G587" s="93" t="n"/>
      <c r="H587" s="93" t="n"/>
      <c r="I587" s="105">
        <f>IF($A587="","",SUM(D587:H587))</f>
        <v/>
      </c>
    </row>
    <row r="588" ht="15" customHeight="1" s="71">
      <c r="A588" s="87" t="n"/>
      <c r="B588" s="91" t="n"/>
      <c r="C588" s="89">
        <f>IF(OR($A588="",$B588=""),"",IFERROR(VLOOKUP($B588,Employés!$A:$B,2,0),""))</f>
        <v/>
      </c>
      <c r="D588" s="93" t="n"/>
      <c r="E588" s="93" t="n"/>
      <c r="F588" s="93" t="n"/>
      <c r="G588" s="93" t="n"/>
      <c r="H588" s="93" t="n"/>
      <c r="I588" s="105">
        <f>IF($A588="","",SUM(D588:H588))</f>
        <v/>
      </c>
    </row>
    <row r="589" ht="15" customHeight="1" s="71">
      <c r="A589" s="87" t="n"/>
      <c r="B589" s="91" t="n"/>
      <c r="C589" s="89">
        <f>IF(OR($A589="",$B589=""),"",IFERROR(VLOOKUP($B589,Employés!$A:$B,2,0),""))</f>
        <v/>
      </c>
      <c r="D589" s="93" t="n"/>
      <c r="E589" s="93" t="n"/>
      <c r="F589" s="93" t="n"/>
      <c r="G589" s="93" t="n"/>
      <c r="H589" s="93" t="n"/>
      <c r="I589" s="105">
        <f>IF($A589="","",SUM(D589:H589))</f>
        <v/>
      </c>
    </row>
    <row r="590" ht="15" customHeight="1" s="71">
      <c r="A590" s="87" t="n"/>
      <c r="B590" s="91" t="n"/>
      <c r="C590" s="89">
        <f>IF(OR($A590="",$B590=""),"",IFERROR(VLOOKUP($B590,Employés!$A:$B,2,0),""))</f>
        <v/>
      </c>
      <c r="D590" s="93" t="n"/>
      <c r="E590" s="93" t="n"/>
      <c r="F590" s="93" t="n"/>
      <c r="G590" s="93" t="n"/>
      <c r="H590" s="93" t="n"/>
      <c r="I590" s="105">
        <f>IF($A590="","",SUM(D590:H590))</f>
        <v/>
      </c>
    </row>
    <row r="591" ht="15" customHeight="1" s="71">
      <c r="A591" s="87" t="n"/>
      <c r="B591" s="91" t="n"/>
      <c r="C591" s="89">
        <f>IF(OR($A591="",$B591=""),"",IFERROR(VLOOKUP($B591,Employés!$A:$B,2,0),""))</f>
        <v/>
      </c>
      <c r="D591" s="93" t="n"/>
      <c r="E591" s="93" t="n"/>
      <c r="F591" s="93" t="n"/>
      <c r="G591" s="93" t="n"/>
      <c r="H591" s="93" t="n"/>
      <c r="I591" s="105">
        <f>IF($A591="","",SUM(D591:H591))</f>
        <v/>
      </c>
    </row>
    <row r="592" ht="15" customHeight="1" s="71">
      <c r="A592" s="87" t="n"/>
      <c r="B592" s="91" t="n"/>
      <c r="C592" s="89">
        <f>IF(OR($A592="",$B592=""),"",IFERROR(VLOOKUP($B592,Employés!$A:$B,2,0),""))</f>
        <v/>
      </c>
      <c r="D592" s="93" t="n"/>
      <c r="E592" s="93" t="n"/>
      <c r="F592" s="93" t="n"/>
      <c r="G592" s="93" t="n"/>
      <c r="H592" s="93" t="n"/>
      <c r="I592" s="105">
        <f>IF($A592="","",SUM(D592:H592))</f>
        <v/>
      </c>
    </row>
    <row r="593" ht="15" customHeight="1" s="71">
      <c r="A593" s="87" t="n"/>
      <c r="B593" s="91" t="n"/>
      <c r="C593" s="89">
        <f>IF(OR($A593="",$B593=""),"",IFERROR(VLOOKUP($B593,Employés!$A:$B,2,0),""))</f>
        <v/>
      </c>
      <c r="D593" s="93" t="n"/>
      <c r="E593" s="93" t="n"/>
      <c r="F593" s="93" t="n"/>
      <c r="G593" s="93" t="n"/>
      <c r="H593" s="93" t="n"/>
      <c r="I593" s="105">
        <f>IF($A593="","",SUM(D593:H593))</f>
        <v/>
      </c>
    </row>
    <row r="594" ht="15" customHeight="1" s="71">
      <c r="A594" s="87" t="n"/>
      <c r="B594" s="91" t="n"/>
      <c r="C594" s="89">
        <f>IF(OR($A594="",$B594=""),"",IFERROR(VLOOKUP($B594,Employés!$A:$B,2,0),""))</f>
        <v/>
      </c>
      <c r="D594" s="93" t="n"/>
      <c r="E594" s="93" t="n"/>
      <c r="F594" s="93" t="n"/>
      <c r="G594" s="93" t="n"/>
      <c r="H594" s="93" t="n"/>
      <c r="I594" s="105">
        <f>IF($A594="","",SUM(D594:H594))</f>
        <v/>
      </c>
    </row>
    <row r="595" ht="15" customHeight="1" s="71">
      <c r="A595" s="87" t="n"/>
      <c r="B595" s="91" t="n"/>
      <c r="C595" s="89">
        <f>IF(OR($A595="",$B595=""),"",IFERROR(VLOOKUP($B595,Employés!$A:$B,2,0),""))</f>
        <v/>
      </c>
      <c r="D595" s="93" t="n"/>
      <c r="E595" s="93" t="n"/>
      <c r="F595" s="93" t="n"/>
      <c r="G595" s="93" t="n"/>
      <c r="H595" s="93" t="n"/>
      <c r="I595" s="105">
        <f>IF($A595="","",SUM(D595:H595))</f>
        <v/>
      </c>
    </row>
    <row r="596" ht="15" customHeight="1" s="71">
      <c r="A596" s="87" t="n"/>
      <c r="B596" s="91" t="n"/>
      <c r="C596" s="89">
        <f>IF(OR($A596="",$B596=""),"",IFERROR(VLOOKUP($B596,Employés!$A:$B,2,0),""))</f>
        <v/>
      </c>
      <c r="D596" s="93" t="n"/>
      <c r="E596" s="93" t="n"/>
      <c r="F596" s="93" t="n"/>
      <c r="G596" s="93" t="n"/>
      <c r="H596" s="93" t="n"/>
      <c r="I596" s="105">
        <f>IF($A596="","",SUM(D596:H596))</f>
        <v/>
      </c>
    </row>
    <row r="597" ht="15" customHeight="1" s="71">
      <c r="A597" s="87" t="n"/>
      <c r="B597" s="91" t="n"/>
      <c r="C597" s="89">
        <f>IF(OR($A597="",$B597=""),"",IFERROR(VLOOKUP($B597,Employés!$A:$B,2,0),""))</f>
        <v/>
      </c>
      <c r="D597" s="93" t="n"/>
      <c r="E597" s="93" t="n"/>
      <c r="F597" s="93" t="n"/>
      <c r="G597" s="93" t="n"/>
      <c r="H597" s="93" t="n"/>
      <c r="I597" s="105">
        <f>IF($A597="","",SUM(D597:H597))</f>
        <v/>
      </c>
    </row>
    <row r="598" ht="15" customHeight="1" s="71">
      <c r="A598" s="87" t="n"/>
      <c r="B598" s="91" t="n"/>
      <c r="C598" s="89">
        <f>IF(OR($A598="",$B598=""),"",IFERROR(VLOOKUP($B598,Employés!$A:$B,2,0),""))</f>
        <v/>
      </c>
      <c r="D598" s="93" t="n"/>
      <c r="E598" s="93" t="n"/>
      <c r="F598" s="93" t="n"/>
      <c r="G598" s="93" t="n"/>
      <c r="H598" s="93" t="n"/>
      <c r="I598" s="105">
        <f>IF($A598="","",SUM(D598:H598))</f>
        <v/>
      </c>
    </row>
    <row r="599" ht="15" customHeight="1" s="71">
      <c r="A599" s="87" t="n"/>
      <c r="B599" s="91" t="n"/>
      <c r="C599" s="89">
        <f>IF(OR($A599="",$B599=""),"",IFERROR(VLOOKUP($B599,Employés!$A:$B,2,0),""))</f>
        <v/>
      </c>
      <c r="D599" s="93" t="n"/>
      <c r="E599" s="93" t="n"/>
      <c r="F599" s="93" t="n"/>
      <c r="G599" s="93" t="n"/>
      <c r="H599" s="93" t="n"/>
      <c r="I599" s="105">
        <f>IF($A599="","",SUM(D599:H599))</f>
        <v/>
      </c>
    </row>
    <row r="600" ht="15" customHeight="1" s="71">
      <c r="A600" s="87" t="n"/>
      <c r="B600" s="91" t="n"/>
      <c r="C600" s="89">
        <f>IF(OR($A600="",$B600=""),"",IFERROR(VLOOKUP($B600,Employés!$A:$B,2,0),""))</f>
        <v/>
      </c>
      <c r="D600" s="93" t="n"/>
      <c r="E600" s="93" t="n"/>
      <c r="F600" s="93" t="n"/>
      <c r="G600" s="93" t="n"/>
      <c r="H600" s="93" t="n"/>
      <c r="I600" s="105">
        <f>IF($A600="","",SUM(D600:H600))</f>
        <v/>
      </c>
    </row>
    <row r="601" ht="15" customHeight="1" s="71">
      <c r="A601" s="87" t="n"/>
      <c r="B601" s="91" t="n"/>
      <c r="C601" s="89">
        <f>IF(OR($A601="",$B601=""),"",IFERROR(VLOOKUP($B601,Employés!$A:$B,2,0),""))</f>
        <v/>
      </c>
      <c r="D601" s="93" t="n"/>
      <c r="E601" s="93" t="n"/>
      <c r="F601" s="93" t="n"/>
      <c r="G601" s="93" t="n"/>
      <c r="H601" s="93" t="n"/>
      <c r="I601" s="105">
        <f>IF($A601="","",SUM(D601:H601))</f>
        <v/>
      </c>
    </row>
    <row r="602" ht="15" customHeight="1" s="71">
      <c r="A602" s="87" t="n"/>
      <c r="B602" s="91" t="n"/>
      <c r="C602" s="89">
        <f>IF(OR($A602="",$B602=""),"",IFERROR(VLOOKUP($B602,Employés!$A:$B,2,0),""))</f>
        <v/>
      </c>
      <c r="D602" s="93" t="n"/>
      <c r="E602" s="93" t="n"/>
      <c r="F602" s="93" t="n"/>
      <c r="G602" s="93" t="n"/>
      <c r="H602" s="93" t="n"/>
      <c r="I602" s="105">
        <f>IF($A602="","",SUM(D602:H602))</f>
        <v/>
      </c>
    </row>
    <row r="603" ht="15" customHeight="1" s="71">
      <c r="A603" s="87" t="n"/>
      <c r="B603" s="91" t="n"/>
      <c r="C603" s="89">
        <f>IF(OR($A603="",$B603=""),"",IFERROR(VLOOKUP($B603,Employés!$A:$B,2,0),""))</f>
        <v/>
      </c>
      <c r="D603" s="93" t="n"/>
      <c r="E603" s="93" t="n"/>
      <c r="F603" s="93" t="n"/>
      <c r="G603" s="93" t="n"/>
      <c r="H603" s="93" t="n"/>
      <c r="I603" s="105">
        <f>IF($A603="","",SUM(D603:H603))</f>
        <v/>
      </c>
    </row>
    <row r="604" ht="15" customHeight="1" s="71">
      <c r="A604" s="87" t="n"/>
      <c r="B604" s="91" t="n"/>
      <c r="C604" s="89">
        <f>IF(OR($A604="",$B604=""),"",IFERROR(VLOOKUP($B604,Employés!$A:$B,2,0),""))</f>
        <v/>
      </c>
      <c r="D604" s="93" t="n"/>
      <c r="E604" s="93" t="n"/>
      <c r="F604" s="93" t="n"/>
      <c r="G604" s="93" t="n"/>
      <c r="H604" s="93" t="n"/>
      <c r="I604" s="105">
        <f>IF($A604="","",SUM(D604:H604))</f>
        <v/>
      </c>
    </row>
    <row r="605" ht="15" customHeight="1" s="71">
      <c r="A605" s="87" t="n"/>
      <c r="B605" s="91" t="n"/>
      <c r="C605" s="89">
        <f>IF(OR($A605="",$B605=""),"",IFERROR(VLOOKUP($B605,Employés!$A:$B,2,0),""))</f>
        <v/>
      </c>
      <c r="D605" s="93" t="n"/>
      <c r="E605" s="93" t="n"/>
      <c r="F605" s="93" t="n"/>
      <c r="G605" s="93" t="n"/>
      <c r="H605" s="93" t="n"/>
      <c r="I605" s="105">
        <f>IF($A605="","",SUM(D605:H605))</f>
        <v/>
      </c>
    </row>
    <row r="606" ht="15" customHeight="1" s="71">
      <c r="A606" s="87" t="n"/>
      <c r="B606" s="91" t="n"/>
      <c r="C606" s="89">
        <f>IF(OR($A606="",$B606=""),"",IFERROR(VLOOKUP($B606,Employés!$A:$B,2,0),""))</f>
        <v/>
      </c>
      <c r="D606" s="93" t="n"/>
      <c r="E606" s="93" t="n"/>
      <c r="F606" s="93" t="n"/>
      <c r="G606" s="93" t="n"/>
      <c r="H606" s="93" t="n"/>
      <c r="I606" s="105">
        <f>IF($A606="","",SUM(D606:H606))</f>
        <v/>
      </c>
    </row>
    <row r="607" ht="15" customHeight="1" s="71">
      <c r="A607" s="87" t="n"/>
      <c r="B607" s="91" t="n"/>
      <c r="C607" s="89">
        <f>IF(OR($A607="",$B607=""),"",IFERROR(VLOOKUP($B607,Employés!$A:$B,2,0),""))</f>
        <v/>
      </c>
      <c r="D607" s="93" t="n"/>
      <c r="E607" s="93" t="n"/>
      <c r="F607" s="93" t="n"/>
      <c r="G607" s="93" t="n"/>
      <c r="H607" s="93" t="n"/>
      <c r="I607" s="105">
        <f>IF($A607="","",SUM(D607:H607))</f>
        <v/>
      </c>
    </row>
    <row r="608" ht="15" customHeight="1" s="71">
      <c r="A608" s="87" t="n"/>
      <c r="B608" s="91" t="n"/>
      <c r="C608" s="89">
        <f>IF(OR($A608="",$B608=""),"",IFERROR(VLOOKUP($B608,Employés!$A:$B,2,0),""))</f>
        <v/>
      </c>
      <c r="D608" s="93" t="n"/>
      <c r="E608" s="93" t="n"/>
      <c r="F608" s="93" t="n"/>
      <c r="G608" s="93" t="n"/>
      <c r="H608" s="93" t="n"/>
      <c r="I608" s="105">
        <f>IF($A608="","",SUM(D608:H608))</f>
        <v/>
      </c>
    </row>
    <row r="609" ht="15" customHeight="1" s="71">
      <c r="A609" s="87" t="n"/>
      <c r="B609" s="91" t="n"/>
      <c r="C609" s="89">
        <f>IF(OR($A609="",$B609=""),"",IFERROR(VLOOKUP($B609,Employés!$A:$B,2,0),""))</f>
        <v/>
      </c>
      <c r="D609" s="93" t="n"/>
      <c r="E609" s="93" t="n"/>
      <c r="F609" s="93" t="n"/>
      <c r="G609" s="93" t="n"/>
      <c r="H609" s="93" t="n"/>
      <c r="I609" s="105">
        <f>IF($A609="","",SUM(D609:H609))</f>
        <v/>
      </c>
    </row>
    <row r="610" ht="15" customHeight="1" s="71">
      <c r="A610" s="87" t="n"/>
      <c r="B610" s="91" t="n"/>
      <c r="C610" s="89">
        <f>IF(OR($A610="",$B610=""),"",IFERROR(VLOOKUP($B610,Employés!$A:$B,2,0),""))</f>
        <v/>
      </c>
      <c r="D610" s="93" t="n"/>
      <c r="E610" s="93" t="n"/>
      <c r="F610" s="93" t="n"/>
      <c r="G610" s="93" t="n"/>
      <c r="H610" s="93" t="n"/>
      <c r="I610" s="105">
        <f>IF($A610="","",SUM(D610:H610))</f>
        <v/>
      </c>
    </row>
    <row r="611" ht="15" customHeight="1" s="71">
      <c r="A611" s="87" t="n"/>
      <c r="B611" s="91" t="n"/>
      <c r="C611" s="89">
        <f>IF(OR($A611="",$B611=""),"",IFERROR(VLOOKUP($B611,Employés!$A:$B,2,0),""))</f>
        <v/>
      </c>
      <c r="D611" s="93" t="n"/>
      <c r="E611" s="93" t="n"/>
      <c r="F611" s="93" t="n"/>
      <c r="G611" s="93" t="n"/>
      <c r="H611" s="93" t="n"/>
      <c r="I611" s="105">
        <f>IF($A611="","",SUM(D611:H611))</f>
        <v/>
      </c>
    </row>
    <row r="612" ht="15" customHeight="1" s="71">
      <c r="A612" s="87" t="n"/>
      <c r="B612" s="91" t="n"/>
      <c r="C612" s="89">
        <f>IF(OR($A612="",$B612=""),"",IFERROR(VLOOKUP($B612,Employés!$A:$B,2,0),""))</f>
        <v/>
      </c>
      <c r="D612" s="93" t="n"/>
      <c r="E612" s="93" t="n"/>
      <c r="F612" s="93" t="n"/>
      <c r="G612" s="93" t="n"/>
      <c r="H612" s="93" t="n"/>
      <c r="I612" s="105">
        <f>IF($A612="","",SUM(D612:H612))</f>
        <v/>
      </c>
    </row>
    <row r="613" ht="15" customHeight="1" s="71">
      <c r="A613" s="87" t="n"/>
      <c r="B613" s="91" t="n"/>
      <c r="C613" s="89">
        <f>IF(OR($A613="",$B613=""),"",IFERROR(VLOOKUP($B613,Employés!$A:$B,2,0),""))</f>
        <v/>
      </c>
      <c r="D613" s="93" t="n"/>
      <c r="E613" s="93" t="n"/>
      <c r="F613" s="93" t="n"/>
      <c r="G613" s="93" t="n"/>
      <c r="H613" s="93" t="n"/>
      <c r="I613" s="105">
        <f>IF($A613="","",SUM(D613:H613))</f>
        <v/>
      </c>
    </row>
    <row r="614" ht="15" customHeight="1" s="71">
      <c r="A614" s="87" t="n"/>
      <c r="B614" s="91" t="n"/>
      <c r="C614" s="89">
        <f>IF(OR($A614="",$B614=""),"",IFERROR(VLOOKUP($B614,Employés!$A:$B,2,0),""))</f>
        <v/>
      </c>
      <c r="D614" s="93" t="n"/>
      <c r="E614" s="93" t="n"/>
      <c r="F614" s="93" t="n"/>
      <c r="G614" s="93" t="n"/>
      <c r="H614" s="93" t="n"/>
      <c r="I614" s="105">
        <f>IF($A614="","",SUM(D614:H614))</f>
        <v/>
      </c>
    </row>
    <row r="615" ht="15" customHeight="1" s="71">
      <c r="A615" s="87" t="n"/>
      <c r="B615" s="91" t="n"/>
      <c r="C615" s="89">
        <f>IF(OR($A615="",$B615=""),"",IFERROR(VLOOKUP($B615,Employés!$A:$B,2,0),""))</f>
        <v/>
      </c>
      <c r="D615" s="93" t="n"/>
      <c r="E615" s="93" t="n"/>
      <c r="F615" s="93" t="n"/>
      <c r="G615" s="93" t="n"/>
      <c r="H615" s="93" t="n"/>
      <c r="I615" s="105">
        <f>IF($A615="","",SUM(D615:H615))</f>
        <v/>
      </c>
    </row>
    <row r="616" ht="15" customHeight="1" s="71">
      <c r="A616" s="87" t="n"/>
      <c r="B616" s="91" t="n"/>
      <c r="C616" s="89">
        <f>IF(OR($A616="",$B616=""),"",IFERROR(VLOOKUP($B616,Employés!$A:$B,2,0),""))</f>
        <v/>
      </c>
      <c r="D616" s="93" t="n"/>
      <c r="E616" s="93" t="n"/>
      <c r="F616" s="93" t="n"/>
      <c r="G616" s="93" t="n"/>
      <c r="H616" s="93" t="n"/>
      <c r="I616" s="105">
        <f>IF($A616="","",SUM(D616:H616))</f>
        <v/>
      </c>
    </row>
    <row r="617" ht="15" customHeight="1" s="71">
      <c r="A617" s="87" t="n"/>
      <c r="B617" s="91" t="n"/>
      <c r="C617" s="89">
        <f>IF(OR($A617="",$B617=""),"",IFERROR(VLOOKUP($B617,Employés!$A:$B,2,0),""))</f>
        <v/>
      </c>
      <c r="D617" s="93" t="n"/>
      <c r="E617" s="93" t="n"/>
      <c r="F617" s="93" t="n"/>
      <c r="G617" s="93" t="n"/>
      <c r="H617" s="93" t="n"/>
      <c r="I617" s="105">
        <f>IF($A617="","",SUM(D617:H617))</f>
        <v/>
      </c>
    </row>
    <row r="618" ht="15" customHeight="1" s="71">
      <c r="A618" s="87" t="n"/>
      <c r="B618" s="91" t="n"/>
      <c r="C618" s="89">
        <f>IF(OR($A618="",$B618=""),"",IFERROR(VLOOKUP($B618,Employés!$A:$B,2,0),""))</f>
        <v/>
      </c>
      <c r="D618" s="93" t="n"/>
      <c r="E618" s="93" t="n"/>
      <c r="F618" s="93" t="n"/>
      <c r="G618" s="93" t="n"/>
      <c r="H618" s="93" t="n"/>
      <c r="I618" s="105">
        <f>IF($A618="","",SUM(D618:H618))</f>
        <v/>
      </c>
    </row>
    <row r="619" ht="15" customHeight="1" s="71">
      <c r="A619" s="87" t="n"/>
      <c r="B619" s="91" t="n"/>
      <c r="C619" s="89">
        <f>IF(OR($A619="",$B619=""),"",IFERROR(VLOOKUP($B619,Employés!$A:$B,2,0),""))</f>
        <v/>
      </c>
      <c r="D619" s="93" t="n"/>
      <c r="E619" s="93" t="n"/>
      <c r="F619" s="93" t="n"/>
      <c r="G619" s="93" t="n"/>
      <c r="H619" s="93" t="n"/>
      <c r="I619" s="105">
        <f>IF($A619="","",SUM(D619:H619))</f>
        <v/>
      </c>
    </row>
    <row r="620" ht="15" customHeight="1" s="71">
      <c r="A620" s="87" t="n"/>
      <c r="B620" s="91" t="n"/>
      <c r="C620" s="89">
        <f>IF(OR($A620="",$B620=""),"",IFERROR(VLOOKUP($B620,Employés!$A:$B,2,0),""))</f>
        <v/>
      </c>
      <c r="D620" s="93" t="n"/>
      <c r="E620" s="93" t="n"/>
      <c r="F620" s="93" t="n"/>
      <c r="G620" s="93" t="n"/>
      <c r="H620" s="93" t="n"/>
      <c r="I620" s="105">
        <f>IF($A620="","",SUM(D620:H620))</f>
        <v/>
      </c>
    </row>
    <row r="621" ht="15" customHeight="1" s="71">
      <c r="A621" s="87" t="n"/>
      <c r="B621" s="91" t="n"/>
      <c r="C621" s="89">
        <f>IF(OR($A621="",$B621=""),"",IFERROR(VLOOKUP($B621,Employés!$A:$B,2,0),""))</f>
        <v/>
      </c>
      <c r="D621" s="93" t="n"/>
      <c r="E621" s="93" t="n"/>
      <c r="F621" s="93" t="n"/>
      <c r="G621" s="93" t="n"/>
      <c r="H621" s="93" t="n"/>
      <c r="I621" s="105">
        <f>IF($A621="","",SUM(D621:H621))</f>
        <v/>
      </c>
    </row>
    <row r="622" ht="15" customHeight="1" s="71">
      <c r="A622" s="87" t="n"/>
      <c r="B622" s="91" t="n"/>
      <c r="C622" s="89">
        <f>IF(OR($A622="",$B622=""),"",IFERROR(VLOOKUP($B622,Employés!$A:$B,2,0),""))</f>
        <v/>
      </c>
      <c r="D622" s="93" t="n"/>
      <c r="E622" s="93" t="n"/>
      <c r="F622" s="93" t="n"/>
      <c r="G622" s="93" t="n"/>
      <c r="H622" s="93" t="n"/>
      <c r="I622" s="105">
        <f>IF($A622="","",SUM(D622:H622))</f>
        <v/>
      </c>
    </row>
    <row r="623" ht="15" customHeight="1" s="71">
      <c r="A623" s="87" t="n"/>
      <c r="B623" s="91" t="n"/>
      <c r="C623" s="89">
        <f>IF(OR($A623="",$B623=""),"",IFERROR(VLOOKUP($B623,Employés!$A:$B,2,0),""))</f>
        <v/>
      </c>
      <c r="D623" s="93" t="n"/>
      <c r="E623" s="93" t="n"/>
      <c r="F623" s="93" t="n"/>
      <c r="G623" s="93" t="n"/>
      <c r="H623" s="93" t="n"/>
      <c r="I623" s="105">
        <f>IF($A623="","",SUM(D623:H623))</f>
        <v/>
      </c>
    </row>
    <row r="624" ht="15" customHeight="1" s="71">
      <c r="A624" s="87" t="n"/>
      <c r="B624" s="91" t="n"/>
      <c r="C624" s="89">
        <f>IF(OR($A624="",$B624=""),"",IFERROR(VLOOKUP($B624,Employés!$A:$B,2,0),""))</f>
        <v/>
      </c>
      <c r="D624" s="93" t="n"/>
      <c r="E624" s="93" t="n"/>
      <c r="F624" s="93" t="n"/>
      <c r="G624" s="93" t="n"/>
      <c r="H624" s="93" t="n"/>
      <c r="I624" s="105">
        <f>IF($A624="","",SUM(D624:H624))</f>
        <v/>
      </c>
    </row>
    <row r="625" ht="15" customHeight="1" s="71">
      <c r="A625" s="87" t="n"/>
      <c r="B625" s="91" t="n"/>
      <c r="C625" s="89">
        <f>IF(OR($A625="",$B625=""),"",IFERROR(VLOOKUP($B625,Employés!$A:$B,2,0),""))</f>
        <v/>
      </c>
      <c r="D625" s="93" t="n"/>
      <c r="E625" s="93" t="n"/>
      <c r="F625" s="93" t="n"/>
      <c r="G625" s="93" t="n"/>
      <c r="H625" s="93" t="n"/>
      <c r="I625" s="105">
        <f>IF($A625="","",SUM(D625:H625))</f>
        <v/>
      </c>
    </row>
    <row r="626" ht="15" customHeight="1" s="71">
      <c r="A626" s="87" t="n"/>
      <c r="B626" s="91" t="n"/>
      <c r="C626" s="89">
        <f>IF(OR($A626="",$B626=""),"",IFERROR(VLOOKUP($B626,Employés!$A:$B,2,0),""))</f>
        <v/>
      </c>
      <c r="D626" s="93" t="n"/>
      <c r="E626" s="93" t="n"/>
      <c r="F626" s="93" t="n"/>
      <c r="G626" s="93" t="n"/>
      <c r="H626" s="93" t="n"/>
      <c r="I626" s="105">
        <f>IF($A626="","",SUM(D626:H626))</f>
        <v/>
      </c>
    </row>
    <row r="627" ht="15" customHeight="1" s="71">
      <c r="A627" s="87" t="n"/>
      <c r="B627" s="91" t="n"/>
      <c r="C627" s="89">
        <f>IF(OR($A627="",$B627=""),"",IFERROR(VLOOKUP($B627,Employés!$A:$B,2,0),""))</f>
        <v/>
      </c>
      <c r="D627" s="93" t="n"/>
      <c r="E627" s="93" t="n"/>
      <c r="F627" s="93" t="n"/>
      <c r="G627" s="93" t="n"/>
      <c r="H627" s="93" t="n"/>
      <c r="I627" s="105">
        <f>IF($A627="","",SUM(D627:H627))</f>
        <v/>
      </c>
    </row>
    <row r="628" ht="15" customHeight="1" s="71">
      <c r="A628" s="87" t="n"/>
      <c r="B628" s="91" t="n"/>
      <c r="C628" s="89">
        <f>IF(OR($A628="",$B628=""),"",IFERROR(VLOOKUP($B628,Employés!$A:$B,2,0),""))</f>
        <v/>
      </c>
      <c r="D628" s="93" t="n"/>
      <c r="E628" s="93" t="n"/>
      <c r="F628" s="93" t="n"/>
      <c r="G628" s="93" t="n"/>
      <c r="H628" s="93" t="n"/>
      <c r="I628" s="105">
        <f>IF($A628="","",SUM(D628:H628))</f>
        <v/>
      </c>
    </row>
    <row r="629" ht="15" customHeight="1" s="71">
      <c r="A629" s="87" t="n"/>
      <c r="B629" s="91" t="n"/>
      <c r="C629" s="89">
        <f>IF(OR($A629="",$B629=""),"",IFERROR(VLOOKUP($B629,Employés!$A:$B,2,0),""))</f>
        <v/>
      </c>
      <c r="D629" s="93" t="n"/>
      <c r="E629" s="93" t="n"/>
      <c r="F629" s="93" t="n"/>
      <c r="G629" s="93" t="n"/>
      <c r="H629" s="93" t="n"/>
      <c r="I629" s="105">
        <f>IF($A629="","",SUM(D629:H629))</f>
        <v/>
      </c>
    </row>
    <row r="630" ht="15" customHeight="1" s="71">
      <c r="A630" s="87" t="n"/>
      <c r="B630" s="91" t="n"/>
      <c r="C630" s="89">
        <f>IF(OR($A630="",$B630=""),"",IFERROR(VLOOKUP($B630,Employés!$A:$B,2,0),""))</f>
        <v/>
      </c>
      <c r="D630" s="93" t="n"/>
      <c r="E630" s="93" t="n"/>
      <c r="F630" s="93" t="n"/>
      <c r="G630" s="93" t="n"/>
      <c r="H630" s="93" t="n"/>
      <c r="I630" s="105">
        <f>IF($A630="","",SUM(D630:H630))</f>
        <v/>
      </c>
    </row>
    <row r="631" ht="15" customHeight="1" s="71">
      <c r="A631" s="87" t="n"/>
      <c r="B631" s="91" t="n"/>
      <c r="C631" s="89">
        <f>IF(OR($A631="",$B631=""),"",IFERROR(VLOOKUP($B631,Employés!$A:$B,2,0),""))</f>
        <v/>
      </c>
      <c r="D631" s="93" t="n"/>
      <c r="E631" s="93" t="n"/>
      <c r="F631" s="93" t="n"/>
      <c r="G631" s="93" t="n"/>
      <c r="H631" s="93" t="n"/>
      <c r="I631" s="105">
        <f>IF($A631="","",SUM(D631:H631))</f>
        <v/>
      </c>
    </row>
    <row r="632" ht="15" customHeight="1" s="71">
      <c r="A632" s="87" t="n"/>
      <c r="B632" s="91" t="n"/>
      <c r="C632" s="89">
        <f>IF(OR($A632="",$B632=""),"",IFERROR(VLOOKUP($B632,Employés!$A:$B,2,0),""))</f>
        <v/>
      </c>
      <c r="D632" s="93" t="n"/>
      <c r="E632" s="93" t="n"/>
      <c r="F632" s="93" t="n"/>
      <c r="G632" s="93" t="n"/>
      <c r="H632" s="93" t="n"/>
      <c r="I632" s="105">
        <f>IF($A632="","",SUM(D632:H632))</f>
        <v/>
      </c>
    </row>
    <row r="633" ht="15" customHeight="1" s="71">
      <c r="A633" s="87" t="n"/>
      <c r="B633" s="91" t="n"/>
      <c r="C633" s="89">
        <f>IF(OR($A633="",$B633=""),"",IFERROR(VLOOKUP($B633,Employés!$A:$B,2,0),""))</f>
        <v/>
      </c>
      <c r="D633" s="93" t="n"/>
      <c r="E633" s="93" t="n"/>
      <c r="F633" s="93" t="n"/>
      <c r="G633" s="93" t="n"/>
      <c r="H633" s="93" t="n"/>
      <c r="I633" s="105">
        <f>IF($A633="","",SUM(D633:H633))</f>
        <v/>
      </c>
    </row>
    <row r="634" ht="15" customHeight="1" s="71">
      <c r="A634" s="87" t="n"/>
      <c r="B634" s="91" t="n"/>
      <c r="C634" s="89">
        <f>IF(OR($A634="",$B634=""),"",IFERROR(VLOOKUP($B634,Employés!$A:$B,2,0),""))</f>
        <v/>
      </c>
      <c r="D634" s="93" t="n"/>
      <c r="E634" s="93" t="n"/>
      <c r="F634" s="93" t="n"/>
      <c r="G634" s="93" t="n"/>
      <c r="H634" s="93" t="n"/>
      <c r="I634" s="105">
        <f>IF($A634="","",SUM(D634:H634))</f>
        <v/>
      </c>
    </row>
    <row r="635" ht="15" customHeight="1" s="71">
      <c r="A635" s="87" t="n"/>
      <c r="B635" s="91" t="n"/>
      <c r="C635" s="89">
        <f>IF(OR($A635="",$B635=""),"",IFERROR(VLOOKUP($B635,Employés!$A:$B,2,0),""))</f>
        <v/>
      </c>
      <c r="D635" s="93" t="n"/>
      <c r="E635" s="93" t="n"/>
      <c r="F635" s="93" t="n"/>
      <c r="G635" s="93" t="n"/>
      <c r="H635" s="93" t="n"/>
      <c r="I635" s="105">
        <f>IF($A635="","",SUM(D635:H635))</f>
        <v/>
      </c>
    </row>
    <row r="636" ht="15" customHeight="1" s="71">
      <c r="A636" s="87" t="n"/>
      <c r="B636" s="91" t="n"/>
      <c r="C636" s="89">
        <f>IF(OR($A636="",$B636=""),"",IFERROR(VLOOKUP($B636,Employés!$A:$B,2,0),""))</f>
        <v/>
      </c>
      <c r="D636" s="93" t="n"/>
      <c r="E636" s="93" t="n"/>
      <c r="F636" s="93" t="n"/>
      <c r="G636" s="93" t="n"/>
      <c r="H636" s="93" t="n"/>
      <c r="I636" s="105">
        <f>IF($A636="","",SUM(D636:H636))</f>
        <v/>
      </c>
    </row>
    <row r="637" ht="15" customHeight="1" s="71">
      <c r="A637" s="87" t="n"/>
      <c r="B637" s="91" t="n"/>
      <c r="C637" s="89">
        <f>IF(OR($A637="",$B637=""),"",IFERROR(VLOOKUP($B637,Employés!$A:$B,2,0),""))</f>
        <v/>
      </c>
      <c r="D637" s="93" t="n"/>
      <c r="E637" s="93" t="n"/>
      <c r="F637" s="93" t="n"/>
      <c r="G637" s="93" t="n"/>
      <c r="H637" s="93" t="n"/>
      <c r="I637" s="105">
        <f>IF($A637="","",SUM(D637:H637))</f>
        <v/>
      </c>
    </row>
    <row r="638" ht="15" customHeight="1" s="71">
      <c r="A638" s="87" t="n"/>
      <c r="B638" s="91" t="n"/>
      <c r="C638" s="89">
        <f>IF(OR($A638="",$B638=""),"",IFERROR(VLOOKUP($B638,Employés!$A:$B,2,0),""))</f>
        <v/>
      </c>
      <c r="D638" s="93" t="n"/>
      <c r="E638" s="93" t="n"/>
      <c r="F638" s="93" t="n"/>
      <c r="G638" s="93" t="n"/>
      <c r="H638" s="93" t="n"/>
      <c r="I638" s="105">
        <f>IF($A638="","",SUM(D638:H638))</f>
        <v/>
      </c>
    </row>
    <row r="639" ht="15" customHeight="1" s="71">
      <c r="A639" s="87" t="n"/>
      <c r="B639" s="91" t="n"/>
      <c r="C639" s="89">
        <f>IF(OR($A639="",$B639=""),"",IFERROR(VLOOKUP($B639,Employés!$A:$B,2,0),""))</f>
        <v/>
      </c>
      <c r="D639" s="93" t="n"/>
      <c r="E639" s="93" t="n"/>
      <c r="F639" s="93" t="n"/>
      <c r="G639" s="93" t="n"/>
      <c r="H639" s="93" t="n"/>
      <c r="I639" s="105">
        <f>IF($A639="","",SUM(D639:H639))</f>
        <v/>
      </c>
    </row>
    <row r="640" ht="15" customHeight="1" s="71">
      <c r="A640" s="87" t="n"/>
      <c r="B640" s="91" t="n"/>
      <c r="C640" s="89">
        <f>IF(OR($A640="",$B640=""),"",IFERROR(VLOOKUP($B640,Employés!$A:$B,2,0),""))</f>
        <v/>
      </c>
      <c r="D640" s="93" t="n"/>
      <c r="E640" s="93" t="n"/>
      <c r="F640" s="93" t="n"/>
      <c r="G640" s="93" t="n"/>
      <c r="H640" s="93" t="n"/>
      <c r="I640" s="105">
        <f>IF($A640="","",SUM(D640:H640))</f>
        <v/>
      </c>
    </row>
    <row r="641" ht="15" customHeight="1" s="71">
      <c r="A641" s="87" t="n"/>
      <c r="B641" s="91" t="n"/>
      <c r="C641" s="89">
        <f>IF(OR($A641="",$B641=""),"",IFERROR(VLOOKUP($B641,Employés!$A:$B,2,0),""))</f>
        <v/>
      </c>
      <c r="D641" s="93" t="n"/>
      <c r="E641" s="93" t="n"/>
      <c r="F641" s="93" t="n"/>
      <c r="G641" s="93" t="n"/>
      <c r="H641" s="93" t="n"/>
      <c r="I641" s="105">
        <f>IF($A641="","",SUM(D641:H641))</f>
        <v/>
      </c>
    </row>
    <row r="642" ht="15" customHeight="1" s="71">
      <c r="A642" s="87" t="n"/>
      <c r="B642" s="91" t="n"/>
      <c r="C642" s="89">
        <f>IF(OR($A642="",$B642=""),"",IFERROR(VLOOKUP($B642,Employés!$A:$B,2,0),""))</f>
        <v/>
      </c>
      <c r="D642" s="93" t="n"/>
      <c r="E642" s="93" t="n"/>
      <c r="F642" s="93" t="n"/>
      <c r="G642" s="93" t="n"/>
      <c r="H642" s="93" t="n"/>
      <c r="I642" s="105">
        <f>IF($A642="","",SUM(D642:H642))</f>
        <v/>
      </c>
    </row>
    <row r="643" ht="15" customHeight="1" s="71">
      <c r="A643" s="87" t="n"/>
      <c r="B643" s="91" t="n"/>
      <c r="C643" s="89">
        <f>IF(OR($A643="",$B643=""),"",IFERROR(VLOOKUP($B643,Employés!$A:$B,2,0),""))</f>
        <v/>
      </c>
      <c r="D643" s="93" t="n"/>
      <c r="E643" s="93" t="n"/>
      <c r="F643" s="93" t="n"/>
      <c r="G643" s="93" t="n"/>
      <c r="H643" s="93" t="n"/>
      <c r="I643" s="105">
        <f>IF($A643="","",SUM(D643:H643))</f>
        <v/>
      </c>
    </row>
    <row r="644" ht="15" customHeight="1" s="71">
      <c r="A644" s="87" t="n"/>
      <c r="B644" s="91" t="n"/>
      <c r="C644" s="89">
        <f>IF(OR($A644="",$B644=""),"",IFERROR(VLOOKUP($B644,Employés!$A:$B,2,0),""))</f>
        <v/>
      </c>
      <c r="D644" s="93" t="n"/>
      <c r="E644" s="93" t="n"/>
      <c r="F644" s="93" t="n"/>
      <c r="G644" s="93" t="n"/>
      <c r="H644" s="93" t="n"/>
      <c r="I644" s="105">
        <f>IF($A644="","",SUM(D644:H644))</f>
        <v/>
      </c>
    </row>
    <row r="645" ht="15" customHeight="1" s="71">
      <c r="A645" s="87" t="n"/>
      <c r="B645" s="91" t="n"/>
      <c r="C645" s="89">
        <f>IF(OR($A645="",$B645=""),"",IFERROR(VLOOKUP($B645,Employés!$A:$B,2,0),""))</f>
        <v/>
      </c>
      <c r="D645" s="93" t="n"/>
      <c r="E645" s="93" t="n"/>
      <c r="F645" s="93" t="n"/>
      <c r="G645" s="93" t="n"/>
      <c r="H645" s="93" t="n"/>
      <c r="I645" s="105">
        <f>IF($A645="","",SUM(D645:H645))</f>
        <v/>
      </c>
    </row>
    <row r="646" ht="15" customHeight="1" s="71">
      <c r="A646" s="87" t="n"/>
      <c r="B646" s="91" t="n"/>
      <c r="C646" s="89">
        <f>IF(OR($A646="",$B646=""),"",IFERROR(VLOOKUP($B646,Employés!$A:$B,2,0),""))</f>
        <v/>
      </c>
      <c r="D646" s="93" t="n"/>
      <c r="E646" s="93" t="n"/>
      <c r="F646" s="93" t="n"/>
      <c r="G646" s="93" t="n"/>
      <c r="H646" s="93" t="n"/>
      <c r="I646" s="105">
        <f>IF($A646="","",SUM(D646:H646))</f>
        <v/>
      </c>
    </row>
    <row r="647" ht="15" customHeight="1" s="71">
      <c r="A647" s="87" t="n"/>
      <c r="B647" s="91" t="n"/>
      <c r="C647" s="89">
        <f>IF(OR($A647="",$B647=""),"",IFERROR(VLOOKUP($B647,Employés!$A:$B,2,0),""))</f>
        <v/>
      </c>
      <c r="D647" s="93" t="n"/>
      <c r="E647" s="93" t="n"/>
      <c r="F647" s="93" t="n"/>
      <c r="G647" s="93" t="n"/>
      <c r="H647" s="93" t="n"/>
      <c r="I647" s="105">
        <f>IF($A647="","",SUM(D647:H647))</f>
        <v/>
      </c>
    </row>
    <row r="648" ht="15" customHeight="1" s="71">
      <c r="A648" s="87" t="n"/>
      <c r="B648" s="91" t="n"/>
      <c r="C648" s="89">
        <f>IF(OR($A648="",$B648=""),"",IFERROR(VLOOKUP($B648,Employés!$A:$B,2,0),""))</f>
        <v/>
      </c>
      <c r="D648" s="93" t="n"/>
      <c r="E648" s="93" t="n"/>
      <c r="F648" s="93" t="n"/>
      <c r="G648" s="93" t="n"/>
      <c r="H648" s="93" t="n"/>
      <c r="I648" s="105">
        <f>IF($A648="","",SUM(D648:H648))</f>
        <v/>
      </c>
    </row>
    <row r="649" ht="15" customHeight="1" s="71">
      <c r="A649" s="87" t="n"/>
      <c r="B649" s="91" t="n"/>
      <c r="C649" s="89">
        <f>IF(OR($A649="",$B649=""),"",IFERROR(VLOOKUP($B649,Employés!$A:$B,2,0),""))</f>
        <v/>
      </c>
      <c r="D649" s="93" t="n"/>
      <c r="E649" s="93" t="n"/>
      <c r="F649" s="93" t="n"/>
      <c r="G649" s="93" t="n"/>
      <c r="H649" s="93" t="n"/>
      <c r="I649" s="105">
        <f>IF($A649="","",SUM(D649:H649))</f>
        <v/>
      </c>
    </row>
    <row r="650" ht="15" customHeight="1" s="71">
      <c r="A650" s="87" t="n"/>
      <c r="B650" s="91" t="n"/>
      <c r="C650" s="89">
        <f>IF(OR($A650="",$B650=""),"",IFERROR(VLOOKUP($B650,Employés!$A:$B,2,0),""))</f>
        <v/>
      </c>
      <c r="D650" s="93" t="n"/>
      <c r="E650" s="93" t="n"/>
      <c r="F650" s="93" t="n"/>
      <c r="G650" s="93" t="n"/>
      <c r="H650" s="93" t="n"/>
      <c r="I650" s="105">
        <f>IF($A650="","",SUM(D650:H650))</f>
        <v/>
      </c>
    </row>
    <row r="651" ht="15" customHeight="1" s="71">
      <c r="A651" s="87" t="n"/>
      <c r="B651" s="91" t="n"/>
      <c r="C651" s="89">
        <f>IF(OR($A651="",$B651=""),"",IFERROR(VLOOKUP($B651,Employés!$A:$B,2,0),""))</f>
        <v/>
      </c>
      <c r="D651" s="93" t="n"/>
      <c r="E651" s="93" t="n"/>
      <c r="F651" s="93" t="n"/>
      <c r="G651" s="93" t="n"/>
      <c r="H651" s="93" t="n"/>
      <c r="I651" s="105">
        <f>IF($A651="","",SUM(D651:H651))</f>
        <v/>
      </c>
    </row>
    <row r="652" ht="15" customHeight="1" s="71">
      <c r="A652" s="87" t="n"/>
      <c r="B652" s="91" t="n"/>
      <c r="C652" s="89">
        <f>IF(OR($A652="",$B652=""),"",IFERROR(VLOOKUP($B652,Employés!$A:$B,2,0),""))</f>
        <v/>
      </c>
      <c r="D652" s="93" t="n"/>
      <c r="E652" s="93" t="n"/>
      <c r="F652" s="93" t="n"/>
      <c r="G652" s="93" t="n"/>
      <c r="H652" s="93" t="n"/>
      <c r="I652" s="105">
        <f>IF($A652="","",SUM(D652:H652))</f>
        <v/>
      </c>
    </row>
    <row r="653" ht="15" customHeight="1" s="71">
      <c r="A653" s="87" t="n"/>
      <c r="B653" s="91" t="n"/>
      <c r="C653" s="89">
        <f>IF(OR($A653="",$B653=""),"",IFERROR(VLOOKUP($B653,Employés!$A:$B,2,0),""))</f>
        <v/>
      </c>
      <c r="D653" s="93" t="n"/>
      <c r="E653" s="93" t="n"/>
      <c r="F653" s="93" t="n"/>
      <c r="G653" s="93" t="n"/>
      <c r="H653" s="93" t="n"/>
      <c r="I653" s="105">
        <f>IF($A653="","",SUM(D653:H653))</f>
        <v/>
      </c>
    </row>
    <row r="654" ht="15" customHeight="1" s="71">
      <c r="A654" s="87" t="n"/>
      <c r="B654" s="91" t="n"/>
      <c r="C654" s="89">
        <f>IF(OR($A654="",$B654=""),"",IFERROR(VLOOKUP($B654,Employés!$A:$B,2,0),""))</f>
        <v/>
      </c>
      <c r="D654" s="93" t="n"/>
      <c r="E654" s="93" t="n"/>
      <c r="F654" s="93" t="n"/>
      <c r="G654" s="93" t="n"/>
      <c r="H654" s="93" t="n"/>
      <c r="I654" s="105">
        <f>IF($A654="","",SUM(D654:H654))</f>
        <v/>
      </c>
    </row>
    <row r="655" ht="15" customHeight="1" s="71">
      <c r="A655" s="87" t="n"/>
      <c r="B655" s="91" t="n"/>
      <c r="C655" s="89">
        <f>IF(OR($A655="",$B655=""),"",IFERROR(VLOOKUP($B655,Employés!$A:$B,2,0),""))</f>
        <v/>
      </c>
      <c r="D655" s="93" t="n"/>
      <c r="E655" s="93" t="n"/>
      <c r="F655" s="93" t="n"/>
      <c r="G655" s="93" t="n"/>
      <c r="H655" s="93" t="n"/>
      <c r="I655" s="105">
        <f>IF($A655="","",SUM(D655:H655))</f>
        <v/>
      </c>
    </row>
    <row r="656" ht="15" customHeight="1" s="71">
      <c r="A656" s="87" t="n"/>
      <c r="B656" s="91" t="n"/>
      <c r="C656" s="89">
        <f>IF(OR($A656="",$B656=""),"",IFERROR(VLOOKUP($B656,Employés!$A:$B,2,0),""))</f>
        <v/>
      </c>
      <c r="D656" s="93" t="n"/>
      <c r="E656" s="93" t="n"/>
      <c r="F656" s="93" t="n"/>
      <c r="G656" s="93" t="n"/>
      <c r="H656" s="93" t="n"/>
      <c r="I656" s="105">
        <f>IF($A656="","",SUM(D656:H656))</f>
        <v/>
      </c>
    </row>
    <row r="657" ht="15" customHeight="1" s="71">
      <c r="A657" s="87" t="n"/>
      <c r="B657" s="91" t="n"/>
      <c r="C657" s="89">
        <f>IF(OR($A657="",$B657=""),"",IFERROR(VLOOKUP($B657,Employés!$A:$B,2,0),""))</f>
        <v/>
      </c>
      <c r="D657" s="93" t="n"/>
      <c r="E657" s="93" t="n"/>
      <c r="F657" s="93" t="n"/>
      <c r="G657" s="93" t="n"/>
      <c r="H657" s="93" t="n"/>
      <c r="I657" s="105">
        <f>IF($A657="","",SUM(D657:H657))</f>
        <v/>
      </c>
    </row>
    <row r="658" ht="15" customHeight="1" s="71">
      <c r="A658" s="87" t="n"/>
      <c r="B658" s="91" t="n"/>
      <c r="C658" s="89">
        <f>IF(OR($A658="",$B658=""),"",IFERROR(VLOOKUP($B658,Employés!$A:$B,2,0),""))</f>
        <v/>
      </c>
      <c r="D658" s="93" t="n"/>
      <c r="E658" s="93" t="n"/>
      <c r="F658" s="93" t="n"/>
      <c r="G658" s="93" t="n"/>
      <c r="H658" s="93" t="n"/>
      <c r="I658" s="105">
        <f>IF($A658="","",SUM(D658:H658))</f>
        <v/>
      </c>
    </row>
    <row r="659" ht="15" customHeight="1" s="71">
      <c r="A659" s="87" t="n"/>
      <c r="B659" s="91" t="n"/>
      <c r="C659" s="89">
        <f>IF(OR($A659="",$B659=""),"",IFERROR(VLOOKUP($B659,Employés!$A:$B,2,0),""))</f>
        <v/>
      </c>
      <c r="D659" s="93" t="n"/>
      <c r="E659" s="93" t="n"/>
      <c r="F659" s="93" t="n"/>
      <c r="G659" s="93" t="n"/>
      <c r="H659" s="93" t="n"/>
      <c r="I659" s="105">
        <f>IF($A659="","",SUM(D659:H659))</f>
        <v/>
      </c>
    </row>
    <row r="660" ht="15" customHeight="1" s="71">
      <c r="A660" s="87" t="n"/>
      <c r="B660" s="91" t="n"/>
      <c r="C660" s="89">
        <f>IF(OR($A660="",$B660=""),"",IFERROR(VLOOKUP($B660,Employés!$A:$B,2,0),""))</f>
        <v/>
      </c>
      <c r="D660" s="93" t="n"/>
      <c r="E660" s="93" t="n"/>
      <c r="F660" s="93" t="n"/>
      <c r="G660" s="93" t="n"/>
      <c r="H660" s="93" t="n"/>
      <c r="I660" s="105">
        <f>IF($A660="","",SUM(D660:H660))</f>
        <v/>
      </c>
    </row>
    <row r="661" ht="15" customHeight="1" s="71">
      <c r="A661" s="87" t="n"/>
      <c r="B661" s="91" t="n"/>
      <c r="C661" s="89">
        <f>IF(OR($A661="",$B661=""),"",IFERROR(VLOOKUP($B661,Employés!$A:$B,2,0),""))</f>
        <v/>
      </c>
      <c r="D661" s="93" t="n"/>
      <c r="E661" s="93" t="n"/>
      <c r="F661" s="93" t="n"/>
      <c r="G661" s="93" t="n"/>
      <c r="H661" s="93" t="n"/>
      <c r="I661" s="105">
        <f>IF($A661="","",SUM(D661:H661))</f>
        <v/>
      </c>
    </row>
    <row r="662" ht="15" customHeight="1" s="71">
      <c r="A662" s="87" t="n"/>
      <c r="B662" s="91" t="n"/>
      <c r="C662" s="89">
        <f>IF(OR($A662="",$B662=""),"",IFERROR(VLOOKUP($B662,Employés!$A:$B,2,0),""))</f>
        <v/>
      </c>
      <c r="D662" s="93" t="n"/>
      <c r="E662" s="93" t="n"/>
      <c r="F662" s="93" t="n"/>
      <c r="G662" s="93" t="n"/>
      <c r="H662" s="93" t="n"/>
      <c r="I662" s="105">
        <f>IF($A662="","",SUM(D662:H662))</f>
        <v/>
      </c>
    </row>
    <row r="663" ht="15" customHeight="1" s="71">
      <c r="A663" s="87" t="n"/>
      <c r="B663" s="91" t="n"/>
      <c r="C663" s="89">
        <f>IF(OR($A663="",$B663=""),"",IFERROR(VLOOKUP($B663,Employés!$A:$B,2,0),""))</f>
        <v/>
      </c>
      <c r="D663" s="93" t="n"/>
      <c r="E663" s="93" t="n"/>
      <c r="F663" s="93" t="n"/>
      <c r="G663" s="93" t="n"/>
      <c r="H663" s="93" t="n"/>
      <c r="I663" s="105">
        <f>IF($A663="","",SUM(D663:H663))</f>
        <v/>
      </c>
    </row>
    <row r="664" ht="15" customHeight="1" s="71">
      <c r="A664" s="87" t="n"/>
      <c r="B664" s="91" t="n"/>
      <c r="C664" s="89">
        <f>IF(OR($A664="",$B664=""),"",IFERROR(VLOOKUP($B664,Employés!$A:$B,2,0),""))</f>
        <v/>
      </c>
      <c r="D664" s="93" t="n"/>
      <c r="E664" s="93" t="n"/>
      <c r="F664" s="93" t="n"/>
      <c r="G664" s="93" t="n"/>
      <c r="H664" s="93" t="n"/>
      <c r="I664" s="105">
        <f>IF($A664="","",SUM(D664:H664))</f>
        <v/>
      </c>
    </row>
    <row r="665" ht="15" customHeight="1" s="71">
      <c r="A665" s="87" t="n"/>
      <c r="B665" s="91" t="n"/>
      <c r="C665" s="89">
        <f>IF(OR($A665="",$B665=""),"",IFERROR(VLOOKUP($B665,Employés!$A:$B,2,0),""))</f>
        <v/>
      </c>
      <c r="D665" s="93" t="n"/>
      <c r="E665" s="93" t="n"/>
      <c r="F665" s="93" t="n"/>
      <c r="G665" s="93" t="n"/>
      <c r="H665" s="93" t="n"/>
      <c r="I665" s="105">
        <f>IF($A665="","",SUM(D665:H665))</f>
        <v/>
      </c>
    </row>
    <row r="666" ht="15" customHeight="1" s="71">
      <c r="A666" s="87" t="n"/>
      <c r="B666" s="91" t="n"/>
      <c r="C666" s="89">
        <f>IF(OR($A666="",$B666=""),"",IFERROR(VLOOKUP($B666,Employés!$A:$B,2,0),""))</f>
        <v/>
      </c>
      <c r="D666" s="93" t="n"/>
      <c r="E666" s="93" t="n"/>
      <c r="F666" s="93" t="n"/>
      <c r="G666" s="93" t="n"/>
      <c r="H666" s="93" t="n"/>
      <c r="I666" s="105">
        <f>IF($A666="","",SUM(D666:H666))</f>
        <v/>
      </c>
    </row>
    <row r="667" ht="15" customHeight="1" s="71">
      <c r="A667" s="87" t="n"/>
      <c r="B667" s="91" t="n"/>
      <c r="C667" s="89">
        <f>IF(OR($A667="",$B667=""),"",IFERROR(VLOOKUP($B667,Employés!$A:$B,2,0),""))</f>
        <v/>
      </c>
      <c r="D667" s="93" t="n"/>
      <c r="E667" s="93" t="n"/>
      <c r="F667" s="93" t="n"/>
      <c r="G667" s="93" t="n"/>
      <c r="H667" s="93" t="n"/>
      <c r="I667" s="105">
        <f>IF($A667="","",SUM(D667:H667))</f>
        <v/>
      </c>
    </row>
    <row r="668" ht="15" customHeight="1" s="71">
      <c r="A668" s="87" t="n"/>
      <c r="B668" s="91" t="n"/>
      <c r="C668" s="89">
        <f>IF(OR($A668="",$B668=""),"",IFERROR(VLOOKUP($B668,Employés!$A:$B,2,0),""))</f>
        <v/>
      </c>
      <c r="D668" s="93" t="n"/>
      <c r="E668" s="93" t="n"/>
      <c r="F668" s="93" t="n"/>
      <c r="G668" s="93" t="n"/>
      <c r="H668" s="93" t="n"/>
      <c r="I668" s="105">
        <f>IF($A668="","",SUM(D668:H668))</f>
        <v/>
      </c>
    </row>
    <row r="669" ht="15" customHeight="1" s="71">
      <c r="A669" s="87" t="n"/>
      <c r="B669" s="91" t="n"/>
      <c r="C669" s="89">
        <f>IF(OR($A669="",$B669=""),"",IFERROR(VLOOKUP($B669,Employés!$A:$B,2,0),""))</f>
        <v/>
      </c>
      <c r="D669" s="93" t="n"/>
      <c r="E669" s="93" t="n"/>
      <c r="F669" s="93" t="n"/>
      <c r="G669" s="93" t="n"/>
      <c r="H669" s="93" t="n"/>
      <c r="I669" s="105">
        <f>IF($A669="","",SUM(D669:H669))</f>
        <v/>
      </c>
    </row>
    <row r="670" ht="15" customHeight="1" s="71">
      <c r="A670" s="87" t="n"/>
      <c r="B670" s="91" t="n"/>
      <c r="C670" s="89">
        <f>IF(OR($A670="",$B670=""),"",IFERROR(VLOOKUP($B670,Employés!$A:$B,2,0),""))</f>
        <v/>
      </c>
      <c r="D670" s="93" t="n"/>
      <c r="E670" s="93" t="n"/>
      <c r="F670" s="93" t="n"/>
      <c r="G670" s="93" t="n"/>
      <c r="H670" s="93" t="n"/>
      <c r="I670" s="105">
        <f>IF($A670="","",SUM(D670:H670))</f>
        <v/>
      </c>
    </row>
    <row r="671" ht="15" customHeight="1" s="71">
      <c r="A671" s="87" t="n"/>
      <c r="B671" s="91" t="n"/>
      <c r="C671" s="89">
        <f>IF(OR($A671="",$B671=""),"",IFERROR(VLOOKUP($B671,Employés!$A:$B,2,0),""))</f>
        <v/>
      </c>
      <c r="D671" s="93" t="n"/>
      <c r="E671" s="93" t="n"/>
      <c r="F671" s="93" t="n"/>
      <c r="G671" s="93" t="n"/>
      <c r="H671" s="93" t="n"/>
      <c r="I671" s="105">
        <f>IF($A671="","",SUM(D671:H671))</f>
        <v/>
      </c>
    </row>
    <row r="672" ht="15" customHeight="1" s="71">
      <c r="A672" s="87" t="n"/>
      <c r="B672" s="91" t="n"/>
      <c r="C672" s="89">
        <f>IF(OR($A672="",$B672=""),"",IFERROR(VLOOKUP($B672,Employés!$A:$B,2,0),""))</f>
        <v/>
      </c>
      <c r="D672" s="93" t="n"/>
      <c r="E672" s="93" t="n"/>
      <c r="F672" s="93" t="n"/>
      <c r="G672" s="93" t="n"/>
      <c r="H672" s="93" t="n"/>
      <c r="I672" s="105">
        <f>IF($A672="","",SUM(D672:H672))</f>
        <v/>
      </c>
    </row>
    <row r="673" ht="15" customHeight="1" s="71">
      <c r="A673" s="87" t="n"/>
      <c r="B673" s="91" t="n"/>
      <c r="C673" s="89">
        <f>IF(OR($A673="",$B673=""),"",IFERROR(VLOOKUP($B673,Employés!$A:$B,2,0),""))</f>
        <v/>
      </c>
      <c r="D673" s="93" t="n"/>
      <c r="E673" s="93" t="n"/>
      <c r="F673" s="93" t="n"/>
      <c r="G673" s="93" t="n"/>
      <c r="H673" s="93" t="n"/>
      <c r="I673" s="105">
        <f>IF($A673="","",SUM(D673:H673))</f>
        <v/>
      </c>
    </row>
    <row r="674" ht="15" customHeight="1" s="71">
      <c r="A674" s="87" t="n"/>
      <c r="B674" s="91" t="n"/>
      <c r="C674" s="89">
        <f>IF(OR($A674="",$B674=""),"",IFERROR(VLOOKUP($B674,Employés!$A:$B,2,0),""))</f>
        <v/>
      </c>
      <c r="D674" s="93" t="n"/>
      <c r="E674" s="93" t="n"/>
      <c r="F674" s="93" t="n"/>
      <c r="G674" s="93" t="n"/>
      <c r="H674" s="93" t="n"/>
      <c r="I674" s="105">
        <f>IF($A674="","",SUM(D674:H674))</f>
        <v/>
      </c>
    </row>
    <row r="675" ht="15" customHeight="1" s="71">
      <c r="A675" s="87" t="n"/>
      <c r="B675" s="91" t="n"/>
      <c r="C675" s="89">
        <f>IF(OR($A675="",$B675=""),"",IFERROR(VLOOKUP($B675,Employés!$A:$B,2,0),""))</f>
        <v/>
      </c>
      <c r="D675" s="93" t="n"/>
      <c r="E675" s="93" t="n"/>
      <c r="F675" s="93" t="n"/>
      <c r="G675" s="93" t="n"/>
      <c r="H675" s="93" t="n"/>
      <c r="I675" s="105">
        <f>IF($A675="","",SUM(D675:H675))</f>
        <v/>
      </c>
    </row>
    <row r="676" ht="15" customHeight="1" s="71">
      <c r="A676" s="87" t="n"/>
      <c r="B676" s="91" t="n"/>
      <c r="C676" s="89">
        <f>IF(OR($A676="",$B676=""),"",IFERROR(VLOOKUP($B676,Employés!$A:$B,2,0),""))</f>
        <v/>
      </c>
      <c r="D676" s="93" t="n"/>
      <c r="E676" s="93" t="n"/>
      <c r="F676" s="93" t="n"/>
      <c r="G676" s="93" t="n"/>
      <c r="H676" s="93" t="n"/>
      <c r="I676" s="105">
        <f>IF($A676="","",SUM(D676:H676))</f>
        <v/>
      </c>
    </row>
    <row r="677" ht="15" customHeight="1" s="71">
      <c r="A677" s="87" t="n"/>
      <c r="B677" s="91" t="n"/>
      <c r="C677" s="89">
        <f>IF(OR($A677="",$B677=""),"",IFERROR(VLOOKUP($B677,Employés!$A:$B,2,0),""))</f>
        <v/>
      </c>
      <c r="D677" s="93" t="n"/>
      <c r="E677" s="93" t="n"/>
      <c r="F677" s="93" t="n"/>
      <c r="G677" s="93" t="n"/>
      <c r="H677" s="93" t="n"/>
      <c r="I677" s="105">
        <f>IF($A677="","",SUM(D677:H677))</f>
        <v/>
      </c>
    </row>
    <row r="678" ht="15" customHeight="1" s="71">
      <c r="A678" s="87" t="n"/>
      <c r="B678" s="91" t="n"/>
      <c r="C678" s="89">
        <f>IF(OR($A678="",$B678=""),"",IFERROR(VLOOKUP($B678,Employés!$A:$B,2,0),""))</f>
        <v/>
      </c>
      <c r="D678" s="93" t="n"/>
      <c r="E678" s="93" t="n"/>
      <c r="F678" s="93" t="n"/>
      <c r="G678" s="93" t="n"/>
      <c r="H678" s="93" t="n"/>
      <c r="I678" s="105">
        <f>IF($A678="","",SUM(D678:H678))</f>
        <v/>
      </c>
    </row>
    <row r="679" ht="15" customHeight="1" s="71">
      <c r="A679" s="87" t="n"/>
      <c r="B679" s="91" t="n"/>
      <c r="C679" s="89">
        <f>IF(OR($A679="",$B679=""),"",IFERROR(VLOOKUP($B679,Employés!$A:$B,2,0),""))</f>
        <v/>
      </c>
      <c r="D679" s="93" t="n"/>
      <c r="E679" s="93" t="n"/>
      <c r="F679" s="93" t="n"/>
      <c r="G679" s="93" t="n"/>
      <c r="H679" s="93" t="n"/>
      <c r="I679" s="105">
        <f>IF($A679="","",SUM(D679:H679))</f>
        <v/>
      </c>
    </row>
    <row r="680" ht="15" customHeight="1" s="71">
      <c r="A680" s="87" t="n"/>
      <c r="B680" s="91" t="n"/>
      <c r="C680" s="89">
        <f>IF(OR($A680="",$B680=""),"",IFERROR(VLOOKUP($B680,Employés!$A:$B,2,0),""))</f>
        <v/>
      </c>
      <c r="D680" s="93" t="n"/>
      <c r="E680" s="93" t="n"/>
      <c r="F680" s="93" t="n"/>
      <c r="G680" s="93" t="n"/>
      <c r="H680" s="93" t="n"/>
      <c r="I680" s="105">
        <f>IF($A680="","",SUM(D680:H680))</f>
        <v/>
      </c>
    </row>
    <row r="681" ht="15" customHeight="1" s="71">
      <c r="A681" s="87" t="n"/>
      <c r="B681" s="91" t="n"/>
      <c r="C681" s="89">
        <f>IF(OR($A681="",$B681=""),"",IFERROR(VLOOKUP($B681,Employés!$A:$B,2,0),""))</f>
        <v/>
      </c>
      <c r="D681" s="93" t="n"/>
      <c r="E681" s="93" t="n"/>
      <c r="F681" s="93" t="n"/>
      <c r="G681" s="93" t="n"/>
      <c r="H681" s="93" t="n"/>
      <c r="I681" s="105">
        <f>IF($A681="","",SUM(D681:H681))</f>
        <v/>
      </c>
    </row>
    <row r="682" ht="15" customHeight="1" s="71">
      <c r="A682" s="87" t="n"/>
      <c r="B682" s="91" t="n"/>
      <c r="C682" s="89">
        <f>IF(OR($A682="",$B682=""),"",IFERROR(VLOOKUP($B682,Employés!$A:$B,2,0),""))</f>
        <v/>
      </c>
      <c r="D682" s="93" t="n"/>
      <c r="E682" s="93" t="n"/>
      <c r="F682" s="93" t="n"/>
      <c r="G682" s="93" t="n"/>
      <c r="H682" s="93" t="n"/>
      <c r="I682" s="105">
        <f>IF($A682="","",SUM(D682:H682))</f>
        <v/>
      </c>
    </row>
    <row r="683" ht="15" customHeight="1" s="71">
      <c r="A683" s="87" t="n"/>
      <c r="B683" s="91" t="n"/>
      <c r="C683" s="89">
        <f>IF(OR($A683="",$B683=""),"",IFERROR(VLOOKUP($B683,Employés!$A:$B,2,0),""))</f>
        <v/>
      </c>
      <c r="D683" s="93" t="n"/>
      <c r="E683" s="93" t="n"/>
      <c r="F683" s="93" t="n"/>
      <c r="G683" s="93" t="n"/>
      <c r="H683" s="93" t="n"/>
      <c r="I683" s="105">
        <f>IF($A683="","",SUM(D683:H683))</f>
        <v/>
      </c>
    </row>
    <row r="684" ht="15" customHeight="1" s="71">
      <c r="A684" s="87" t="n"/>
      <c r="B684" s="91" t="n"/>
      <c r="C684" s="89">
        <f>IF(OR($A684="",$B684=""),"",IFERROR(VLOOKUP($B684,Employés!$A:$B,2,0),""))</f>
        <v/>
      </c>
      <c r="D684" s="93" t="n"/>
      <c r="E684" s="93" t="n"/>
      <c r="F684" s="93" t="n"/>
      <c r="G684" s="93" t="n"/>
      <c r="H684" s="93" t="n"/>
      <c r="I684" s="105">
        <f>IF($A684="","",SUM(D684:H684))</f>
        <v/>
      </c>
    </row>
    <row r="685" ht="15" customHeight="1" s="71">
      <c r="A685" s="87" t="n"/>
      <c r="B685" s="91" t="n"/>
      <c r="C685" s="89">
        <f>IF(OR($A685="",$B685=""),"",IFERROR(VLOOKUP($B685,Employés!$A:$B,2,0),""))</f>
        <v/>
      </c>
      <c r="D685" s="93" t="n"/>
      <c r="E685" s="93" t="n"/>
      <c r="F685" s="93" t="n"/>
      <c r="G685" s="93" t="n"/>
      <c r="H685" s="93" t="n"/>
      <c r="I685" s="105">
        <f>IF($A685="","",SUM(D685:H685))</f>
        <v/>
      </c>
    </row>
    <row r="686" ht="15" customHeight="1" s="71">
      <c r="A686" s="87" t="n"/>
      <c r="B686" s="91" t="n"/>
      <c r="C686" s="89">
        <f>IF(OR($A686="",$B686=""),"",IFERROR(VLOOKUP($B686,Employés!$A:$B,2,0),""))</f>
        <v/>
      </c>
      <c r="D686" s="93" t="n"/>
      <c r="E686" s="93" t="n"/>
      <c r="F686" s="93" t="n"/>
      <c r="G686" s="93" t="n"/>
      <c r="H686" s="93" t="n"/>
      <c r="I686" s="105">
        <f>IF($A686="","",SUM(D686:H686))</f>
        <v/>
      </c>
    </row>
    <row r="687" ht="15" customHeight="1" s="71">
      <c r="A687" s="87" t="n"/>
      <c r="B687" s="91" t="n"/>
      <c r="C687" s="89">
        <f>IF(OR($A687="",$B687=""),"",IFERROR(VLOOKUP($B687,Employés!$A:$B,2,0),""))</f>
        <v/>
      </c>
      <c r="D687" s="93" t="n"/>
      <c r="E687" s="93" t="n"/>
      <c r="F687" s="93" t="n"/>
      <c r="G687" s="93" t="n"/>
      <c r="H687" s="93" t="n"/>
      <c r="I687" s="105">
        <f>IF($A687="","",SUM(D687:H687))</f>
        <v/>
      </c>
    </row>
    <row r="688" ht="15" customHeight="1" s="71">
      <c r="A688" s="87" t="n"/>
      <c r="B688" s="91" t="n"/>
      <c r="C688" s="89">
        <f>IF(OR($A688="",$B688=""),"",IFERROR(VLOOKUP($B688,Employés!$A:$B,2,0),""))</f>
        <v/>
      </c>
      <c r="D688" s="93" t="n"/>
      <c r="E688" s="93" t="n"/>
      <c r="F688" s="93" t="n"/>
      <c r="G688" s="93" t="n"/>
      <c r="H688" s="93" t="n"/>
      <c r="I688" s="105">
        <f>IF($A688="","",SUM(D688:H688))</f>
        <v/>
      </c>
    </row>
    <row r="689" ht="15" customHeight="1" s="71">
      <c r="A689" s="87" t="n"/>
      <c r="B689" s="91" t="n"/>
      <c r="C689" s="89">
        <f>IF(OR($A689="",$B689=""),"",IFERROR(VLOOKUP($B689,Employés!$A:$B,2,0),""))</f>
        <v/>
      </c>
      <c r="D689" s="93" t="n"/>
      <c r="E689" s="93" t="n"/>
      <c r="F689" s="93" t="n"/>
      <c r="G689" s="93" t="n"/>
      <c r="H689" s="93" t="n"/>
      <c r="I689" s="105">
        <f>IF($A689="","",SUM(D689:H689))</f>
        <v/>
      </c>
    </row>
    <row r="690" ht="15" customHeight="1" s="71">
      <c r="A690" s="87" t="n"/>
      <c r="B690" s="91" t="n"/>
      <c r="C690" s="89">
        <f>IF(OR($A690="",$B690=""),"",IFERROR(VLOOKUP($B690,Employés!$A:$B,2,0),""))</f>
        <v/>
      </c>
      <c r="D690" s="93" t="n"/>
      <c r="E690" s="93" t="n"/>
      <c r="F690" s="93" t="n"/>
      <c r="G690" s="93" t="n"/>
      <c r="H690" s="93" t="n"/>
      <c r="I690" s="105">
        <f>IF($A690="","",SUM(D690:H690))</f>
        <v/>
      </c>
    </row>
    <row r="691" ht="15" customHeight="1" s="71">
      <c r="A691" s="87" t="n"/>
      <c r="B691" s="91" t="n"/>
      <c r="C691" s="89">
        <f>IF(OR($A691="",$B691=""),"",IFERROR(VLOOKUP($B691,Employés!$A:$B,2,0),""))</f>
        <v/>
      </c>
      <c r="D691" s="93" t="n"/>
      <c r="E691" s="93" t="n"/>
      <c r="F691" s="93" t="n"/>
      <c r="G691" s="93" t="n"/>
      <c r="H691" s="93" t="n"/>
      <c r="I691" s="105">
        <f>IF($A691="","",SUM(D691:H691))</f>
        <v/>
      </c>
    </row>
    <row r="692" ht="15" customHeight="1" s="71">
      <c r="A692" s="87" t="n"/>
      <c r="B692" s="91" t="n"/>
      <c r="C692" s="89">
        <f>IF(OR($A692="",$B692=""),"",IFERROR(VLOOKUP($B692,Employés!$A:$B,2,0),""))</f>
        <v/>
      </c>
      <c r="D692" s="93" t="n"/>
      <c r="E692" s="93" t="n"/>
      <c r="F692" s="93" t="n"/>
      <c r="G692" s="93" t="n"/>
      <c r="H692" s="93" t="n"/>
      <c r="I692" s="105">
        <f>IF($A692="","",SUM(D692:H692))</f>
        <v/>
      </c>
    </row>
    <row r="693" ht="15" customHeight="1" s="71">
      <c r="A693" s="87" t="n"/>
      <c r="B693" s="91" t="n"/>
      <c r="C693" s="89">
        <f>IF(OR($A693="",$B693=""),"",IFERROR(VLOOKUP($B693,Employés!$A:$B,2,0),""))</f>
        <v/>
      </c>
      <c r="D693" s="93" t="n"/>
      <c r="E693" s="93" t="n"/>
      <c r="F693" s="93" t="n"/>
      <c r="G693" s="93" t="n"/>
      <c r="H693" s="93" t="n"/>
      <c r="I693" s="105">
        <f>IF($A693="","",SUM(D693:H693))</f>
        <v/>
      </c>
    </row>
    <row r="694" ht="15" customHeight="1" s="71">
      <c r="A694" s="87" t="n"/>
      <c r="B694" s="91" t="n"/>
      <c r="C694" s="89">
        <f>IF(OR($A694="",$B694=""),"",IFERROR(VLOOKUP($B694,Employés!$A:$B,2,0),""))</f>
        <v/>
      </c>
      <c r="D694" s="93" t="n"/>
      <c r="E694" s="93" t="n"/>
      <c r="F694" s="93" t="n"/>
      <c r="G694" s="93" t="n"/>
      <c r="H694" s="93" t="n"/>
      <c r="I694" s="105">
        <f>IF($A694="","",SUM(D694:H694))</f>
        <v/>
      </c>
    </row>
    <row r="695" ht="15" customHeight="1" s="71">
      <c r="A695" s="87" t="n"/>
      <c r="B695" s="91" t="n"/>
      <c r="C695" s="89">
        <f>IF(OR($A695="",$B695=""),"",IFERROR(VLOOKUP($B695,Employés!$A:$B,2,0),""))</f>
        <v/>
      </c>
      <c r="D695" s="93" t="n"/>
      <c r="E695" s="93" t="n"/>
      <c r="F695" s="93" t="n"/>
      <c r="G695" s="93" t="n"/>
      <c r="H695" s="93" t="n"/>
      <c r="I695" s="105">
        <f>IF($A695="","",SUM(D695:H695))</f>
        <v/>
      </c>
    </row>
    <row r="696" ht="15" customHeight="1" s="71">
      <c r="A696" s="87" t="n"/>
      <c r="B696" s="91" t="n"/>
      <c r="C696" s="89">
        <f>IF(OR($A696="",$B696=""),"",IFERROR(VLOOKUP($B696,Employés!$A:$B,2,0),""))</f>
        <v/>
      </c>
      <c r="D696" s="93" t="n"/>
      <c r="E696" s="93" t="n"/>
      <c r="F696" s="93" t="n"/>
      <c r="G696" s="93" t="n"/>
      <c r="H696" s="93" t="n"/>
      <c r="I696" s="105">
        <f>IF($A696="","",SUM(D696:H696))</f>
        <v/>
      </c>
    </row>
    <row r="697" ht="15" customHeight="1" s="71">
      <c r="A697" s="87" t="n"/>
      <c r="B697" s="91" t="n"/>
      <c r="C697" s="89">
        <f>IF(OR($A697="",$B697=""),"",IFERROR(VLOOKUP($B697,Employés!$A:$B,2,0),""))</f>
        <v/>
      </c>
      <c r="D697" s="93" t="n"/>
      <c r="E697" s="93" t="n"/>
      <c r="F697" s="93" t="n"/>
      <c r="G697" s="93" t="n"/>
      <c r="H697" s="93" t="n"/>
      <c r="I697" s="105">
        <f>IF($A697="","",SUM(D697:H697))</f>
        <v/>
      </c>
    </row>
    <row r="698" ht="15" customHeight="1" s="71">
      <c r="A698" s="87" t="n"/>
      <c r="B698" s="91" t="n"/>
      <c r="C698" s="89">
        <f>IF(OR($A698="",$B698=""),"",IFERROR(VLOOKUP($B698,Employés!$A:$B,2,0),""))</f>
        <v/>
      </c>
      <c r="D698" s="93" t="n"/>
      <c r="E698" s="93" t="n"/>
      <c r="F698" s="93" t="n"/>
      <c r="G698" s="93" t="n"/>
      <c r="H698" s="93" t="n"/>
      <c r="I698" s="105">
        <f>IF($A698="","",SUM(D698:H698))</f>
        <v/>
      </c>
    </row>
    <row r="699" ht="15" customHeight="1" s="71">
      <c r="A699" s="87" t="n"/>
      <c r="B699" s="91" t="n"/>
      <c r="C699" s="89">
        <f>IF(OR($A699="",$B699=""),"",IFERROR(VLOOKUP($B699,Employés!$A:$B,2,0),""))</f>
        <v/>
      </c>
      <c r="D699" s="93" t="n"/>
      <c r="E699" s="93" t="n"/>
      <c r="F699" s="93" t="n"/>
      <c r="G699" s="93" t="n"/>
      <c r="H699" s="93" t="n"/>
      <c r="I699" s="105">
        <f>IF($A699="","",SUM(D699:H699))</f>
        <v/>
      </c>
    </row>
    <row r="700" ht="15" customHeight="1" s="71">
      <c r="A700" s="87" t="n"/>
      <c r="B700" s="91" t="n"/>
      <c r="C700" s="89">
        <f>IF(OR($A700="",$B700=""),"",IFERROR(VLOOKUP($B700,Employés!$A:$B,2,0),""))</f>
        <v/>
      </c>
      <c r="D700" s="93" t="n"/>
      <c r="E700" s="93" t="n"/>
      <c r="F700" s="93" t="n"/>
      <c r="G700" s="93" t="n"/>
      <c r="H700" s="93" t="n"/>
      <c r="I700" s="105">
        <f>IF($A700="","",SUM(D700:H700))</f>
        <v/>
      </c>
    </row>
    <row r="701" ht="15" customHeight="1" s="71">
      <c r="A701" s="87" t="n"/>
      <c r="B701" s="91" t="n"/>
      <c r="C701" s="89">
        <f>IF(OR($A701="",$B701=""),"",IFERROR(VLOOKUP($B701,Employés!$A:$B,2,0),""))</f>
        <v/>
      </c>
      <c r="D701" s="93" t="n"/>
      <c r="E701" s="93" t="n"/>
      <c r="F701" s="93" t="n"/>
      <c r="G701" s="93" t="n"/>
      <c r="H701" s="93" t="n"/>
      <c r="I701" s="105">
        <f>IF($A701="","",SUM(D701:H701))</f>
        <v/>
      </c>
    </row>
    <row r="702" ht="15" customHeight="1" s="71">
      <c r="A702" s="87" t="n"/>
      <c r="B702" s="91" t="n"/>
      <c r="C702" s="89">
        <f>IF(OR($A702="",$B702=""),"",IFERROR(VLOOKUP($B702,Employés!$A:$B,2,0),""))</f>
        <v/>
      </c>
      <c r="D702" s="93" t="n"/>
      <c r="E702" s="93" t="n"/>
      <c r="F702" s="93" t="n"/>
      <c r="G702" s="93" t="n"/>
      <c r="H702" s="93" t="n"/>
      <c r="I702" s="105">
        <f>IF($A702="","",SUM(D702:H702))</f>
        <v/>
      </c>
    </row>
    <row r="703" ht="15" customHeight="1" s="71">
      <c r="A703" s="87" t="n"/>
      <c r="B703" s="91" t="n"/>
      <c r="C703" s="89">
        <f>IF(OR($A703="",$B703=""),"",IFERROR(VLOOKUP($B703,Employés!$A:$B,2,0),""))</f>
        <v/>
      </c>
      <c r="D703" s="93" t="n"/>
      <c r="E703" s="93" t="n"/>
      <c r="F703" s="93" t="n"/>
      <c r="G703" s="93" t="n"/>
      <c r="H703" s="93" t="n"/>
      <c r="I703" s="105">
        <f>IF($A703="","",SUM(D703:H703))</f>
        <v/>
      </c>
    </row>
    <row r="704" ht="15" customHeight="1" s="71">
      <c r="A704" s="87" t="n"/>
      <c r="B704" s="91" t="n"/>
      <c r="C704" s="89">
        <f>IF(OR($A704="",$B704=""),"",IFERROR(VLOOKUP($B704,Employés!$A:$B,2,0),""))</f>
        <v/>
      </c>
      <c r="D704" s="93" t="n"/>
      <c r="E704" s="93" t="n"/>
      <c r="F704" s="93" t="n"/>
      <c r="G704" s="93" t="n"/>
      <c r="H704" s="93" t="n"/>
      <c r="I704" s="105">
        <f>IF($A704="","",SUM(D704:H704))</f>
        <v/>
      </c>
    </row>
    <row r="705" ht="15" customHeight="1" s="71">
      <c r="A705" s="87" t="n"/>
      <c r="B705" s="91" t="n"/>
      <c r="C705" s="89">
        <f>IF(OR($A705="",$B705=""),"",IFERROR(VLOOKUP($B705,Employés!$A:$B,2,0),""))</f>
        <v/>
      </c>
      <c r="D705" s="93" t="n"/>
      <c r="E705" s="93" t="n"/>
      <c r="F705" s="93" t="n"/>
      <c r="G705" s="93" t="n"/>
      <c r="H705" s="93" t="n"/>
      <c r="I705" s="105">
        <f>IF($A705="","",SUM(D705:H705))</f>
        <v/>
      </c>
    </row>
    <row r="706" ht="15" customHeight="1" s="71">
      <c r="A706" s="87" t="n"/>
      <c r="B706" s="91" t="n"/>
      <c r="C706" s="89">
        <f>IF(OR($A706="",$B706=""),"",IFERROR(VLOOKUP($B706,Employés!$A:$B,2,0),""))</f>
        <v/>
      </c>
      <c r="D706" s="93" t="n"/>
      <c r="E706" s="93" t="n"/>
      <c r="F706" s="93" t="n"/>
      <c r="G706" s="93" t="n"/>
      <c r="H706" s="93" t="n"/>
      <c r="I706" s="105">
        <f>IF($A706="","",SUM(D706:H706))</f>
        <v/>
      </c>
    </row>
    <row r="707" ht="15" customHeight="1" s="71">
      <c r="A707" s="87" t="n"/>
      <c r="B707" s="91" t="n"/>
      <c r="C707" s="89">
        <f>IF(OR($A707="",$B707=""),"",IFERROR(VLOOKUP($B707,Employés!$A:$B,2,0),""))</f>
        <v/>
      </c>
      <c r="D707" s="93" t="n"/>
      <c r="E707" s="93" t="n"/>
      <c r="F707" s="93" t="n"/>
      <c r="G707" s="93" t="n"/>
      <c r="H707" s="93" t="n"/>
      <c r="I707" s="105">
        <f>IF($A707="","",SUM(D707:H707))</f>
        <v/>
      </c>
    </row>
    <row r="708" ht="15" customHeight="1" s="71">
      <c r="A708" s="87" t="n"/>
      <c r="B708" s="91" t="n"/>
      <c r="C708" s="89">
        <f>IF(OR($A708="",$B708=""),"",IFERROR(VLOOKUP($B708,Employés!$A:$B,2,0),""))</f>
        <v/>
      </c>
      <c r="D708" s="93" t="n"/>
      <c r="E708" s="93" t="n"/>
      <c r="F708" s="93" t="n"/>
      <c r="G708" s="93" t="n"/>
      <c r="H708" s="93" t="n"/>
      <c r="I708" s="105">
        <f>IF($A708="","",SUM(D708:H708))</f>
        <v/>
      </c>
    </row>
    <row r="709" ht="15" customHeight="1" s="71">
      <c r="A709" s="87" t="n"/>
      <c r="B709" s="91" t="n"/>
      <c r="C709" s="89">
        <f>IF(OR($A709="",$B709=""),"",IFERROR(VLOOKUP($B709,Employés!$A:$B,2,0),""))</f>
        <v/>
      </c>
      <c r="D709" s="93" t="n"/>
      <c r="E709" s="93" t="n"/>
      <c r="F709" s="93" t="n"/>
      <c r="G709" s="93" t="n"/>
      <c r="H709" s="93" t="n"/>
      <c r="I709" s="105">
        <f>IF($A709="","",SUM(D709:H709))</f>
        <v/>
      </c>
    </row>
    <row r="710" ht="15" customHeight="1" s="71">
      <c r="A710" s="87" t="n"/>
      <c r="B710" s="91" t="n"/>
      <c r="C710" s="89">
        <f>IF(OR($A710="",$B710=""),"",IFERROR(VLOOKUP($B710,Employés!$A:$B,2,0),""))</f>
        <v/>
      </c>
      <c r="D710" s="93" t="n"/>
      <c r="E710" s="93" t="n"/>
      <c r="F710" s="93" t="n"/>
      <c r="G710" s="93" t="n"/>
      <c r="H710" s="93" t="n"/>
      <c r="I710" s="105">
        <f>IF($A710="","",SUM(D710:H710))</f>
        <v/>
      </c>
    </row>
    <row r="711" ht="15" customHeight="1" s="71">
      <c r="A711" s="87" t="n"/>
      <c r="B711" s="91" t="n"/>
      <c r="C711" s="89">
        <f>IF(OR($A711="",$B711=""),"",IFERROR(VLOOKUP($B711,Employés!$A:$B,2,0),""))</f>
        <v/>
      </c>
      <c r="D711" s="93" t="n"/>
      <c r="E711" s="93" t="n"/>
      <c r="F711" s="93" t="n"/>
      <c r="G711" s="93" t="n"/>
      <c r="H711" s="93" t="n"/>
      <c r="I711" s="105">
        <f>IF($A711="","",SUM(D711:H711))</f>
        <v/>
      </c>
    </row>
    <row r="712" ht="15" customHeight="1" s="71">
      <c r="A712" s="87" t="n"/>
      <c r="B712" s="91" t="n"/>
      <c r="C712" s="89">
        <f>IF(OR($A712="",$B712=""),"",IFERROR(VLOOKUP($B712,Employés!$A:$B,2,0),""))</f>
        <v/>
      </c>
      <c r="D712" s="93" t="n"/>
      <c r="E712" s="93" t="n"/>
      <c r="F712" s="93" t="n"/>
      <c r="G712" s="93" t="n"/>
      <c r="H712" s="93" t="n"/>
      <c r="I712" s="105">
        <f>IF($A712="","",SUM(D712:H712))</f>
        <v/>
      </c>
    </row>
    <row r="713" ht="15" customHeight="1" s="71">
      <c r="A713" s="87" t="n"/>
      <c r="B713" s="91" t="n"/>
      <c r="C713" s="89">
        <f>IF(OR($A713="",$B713=""),"",IFERROR(VLOOKUP($B713,Employés!$A:$B,2,0),""))</f>
        <v/>
      </c>
      <c r="D713" s="93" t="n"/>
      <c r="E713" s="93" t="n"/>
      <c r="F713" s="93" t="n"/>
      <c r="G713" s="93" t="n"/>
      <c r="H713" s="93" t="n"/>
      <c r="I713" s="105">
        <f>IF($A713="","",SUM(D713:H713))</f>
        <v/>
      </c>
    </row>
    <row r="714" ht="15" customHeight="1" s="71">
      <c r="A714" s="87" t="n"/>
      <c r="B714" s="91" t="n"/>
      <c r="C714" s="89">
        <f>IF(OR($A714="",$B714=""),"",IFERROR(VLOOKUP($B714,Employés!$A:$B,2,0),""))</f>
        <v/>
      </c>
      <c r="D714" s="93" t="n"/>
      <c r="E714" s="93" t="n"/>
      <c r="F714" s="93" t="n"/>
      <c r="G714" s="93" t="n"/>
      <c r="H714" s="93" t="n"/>
      <c r="I714" s="105">
        <f>IF($A714="","",SUM(D714:H714))</f>
        <v/>
      </c>
    </row>
    <row r="715" ht="15" customHeight="1" s="71">
      <c r="A715" s="87" t="n"/>
      <c r="B715" s="91" t="n"/>
      <c r="C715" s="89">
        <f>IF(OR($A715="",$B715=""),"",IFERROR(VLOOKUP($B715,Employés!$A:$B,2,0),""))</f>
        <v/>
      </c>
      <c r="D715" s="93" t="n"/>
      <c r="E715" s="93" t="n"/>
      <c r="F715" s="93" t="n"/>
      <c r="G715" s="93" t="n"/>
      <c r="H715" s="93" t="n"/>
      <c r="I715" s="105">
        <f>IF($A715="","",SUM(D715:H715))</f>
        <v/>
      </c>
    </row>
    <row r="716" ht="15" customHeight="1" s="71">
      <c r="A716" s="87" t="n"/>
      <c r="B716" s="91" t="n"/>
      <c r="C716" s="89">
        <f>IF(OR($A716="",$B716=""),"",IFERROR(VLOOKUP($B716,Employés!$A:$B,2,0),""))</f>
        <v/>
      </c>
      <c r="D716" s="93" t="n"/>
      <c r="E716" s="93" t="n"/>
      <c r="F716" s="93" t="n"/>
      <c r="G716" s="93" t="n"/>
      <c r="H716" s="93" t="n"/>
      <c r="I716" s="105">
        <f>IF($A716="","",SUM(D716:H716))</f>
        <v/>
      </c>
    </row>
    <row r="717" ht="15" customHeight="1" s="71">
      <c r="A717" s="87" t="n"/>
      <c r="B717" s="91" t="n"/>
      <c r="C717" s="89">
        <f>IF(OR($A717="",$B717=""),"",IFERROR(VLOOKUP($B717,Employés!$A:$B,2,0),""))</f>
        <v/>
      </c>
      <c r="D717" s="93" t="n"/>
      <c r="E717" s="93" t="n"/>
      <c r="F717" s="93" t="n"/>
      <c r="G717" s="93" t="n"/>
      <c r="H717" s="93" t="n"/>
      <c r="I717" s="105">
        <f>IF($A717="","",SUM(D717:H717))</f>
        <v/>
      </c>
    </row>
    <row r="718" ht="15" customHeight="1" s="71">
      <c r="A718" s="87" t="n"/>
      <c r="B718" s="91" t="n"/>
      <c r="C718" s="89">
        <f>IF(OR($A718="",$B718=""),"",IFERROR(VLOOKUP($B718,Employés!$A:$B,2,0),""))</f>
        <v/>
      </c>
      <c r="D718" s="93" t="n"/>
      <c r="E718" s="93" t="n"/>
      <c r="F718" s="93" t="n"/>
      <c r="G718" s="93" t="n"/>
      <c r="H718" s="93" t="n"/>
      <c r="I718" s="105">
        <f>IF($A718="","",SUM(D718:H718))</f>
        <v/>
      </c>
    </row>
    <row r="719" ht="15" customHeight="1" s="71">
      <c r="A719" s="87" t="n"/>
      <c r="B719" s="91" t="n"/>
      <c r="C719" s="89">
        <f>IF(OR($A719="",$B719=""),"",IFERROR(VLOOKUP($B719,Employés!$A:$B,2,0),""))</f>
        <v/>
      </c>
      <c r="D719" s="93" t="n"/>
      <c r="E719" s="93" t="n"/>
      <c r="F719" s="93" t="n"/>
      <c r="G719" s="93" t="n"/>
      <c r="H719" s="93" t="n"/>
      <c r="I719" s="105">
        <f>IF($A719="","",SUM(D719:H719))</f>
        <v/>
      </c>
    </row>
    <row r="720" ht="15" customHeight="1" s="71">
      <c r="A720" s="87" t="n"/>
      <c r="B720" s="91" t="n"/>
      <c r="C720" s="89">
        <f>IF(OR($A720="",$B720=""),"",IFERROR(VLOOKUP($B720,Employés!$A:$B,2,0),""))</f>
        <v/>
      </c>
      <c r="D720" s="93" t="n"/>
      <c r="E720" s="93" t="n"/>
      <c r="F720" s="93" t="n"/>
      <c r="G720" s="93" t="n"/>
      <c r="H720" s="93" t="n"/>
      <c r="I720" s="105">
        <f>IF($A720="","",SUM(D720:H720))</f>
        <v/>
      </c>
    </row>
    <row r="721" ht="15" customHeight="1" s="71">
      <c r="A721" s="87" t="n"/>
      <c r="B721" s="91" t="n"/>
      <c r="C721" s="89">
        <f>IF(OR($A721="",$B721=""),"",IFERROR(VLOOKUP($B721,Employés!$A:$B,2,0),""))</f>
        <v/>
      </c>
      <c r="D721" s="93" t="n"/>
      <c r="E721" s="93" t="n"/>
      <c r="F721" s="93" t="n"/>
      <c r="G721" s="93" t="n"/>
      <c r="H721" s="93" t="n"/>
      <c r="I721" s="105">
        <f>IF($A721="","",SUM(D721:H721))</f>
        <v/>
      </c>
    </row>
    <row r="722" ht="15" customHeight="1" s="71">
      <c r="A722" s="87" t="n"/>
      <c r="B722" s="91" t="n"/>
      <c r="C722" s="89">
        <f>IF(OR($A722="",$B722=""),"",IFERROR(VLOOKUP($B722,Employés!$A:$B,2,0),""))</f>
        <v/>
      </c>
      <c r="D722" s="93" t="n"/>
      <c r="E722" s="93" t="n"/>
      <c r="F722" s="93" t="n"/>
      <c r="G722" s="93" t="n"/>
      <c r="H722" s="93" t="n"/>
      <c r="I722" s="105">
        <f>IF($A722="","",SUM(D722:H722))</f>
        <v/>
      </c>
    </row>
    <row r="723" ht="15" customHeight="1" s="71">
      <c r="A723" s="87" t="n"/>
      <c r="B723" s="91" t="n"/>
      <c r="C723" s="89">
        <f>IF(OR($A723="",$B723=""),"",IFERROR(VLOOKUP($B723,Employés!$A:$B,2,0),""))</f>
        <v/>
      </c>
      <c r="D723" s="93" t="n"/>
      <c r="E723" s="93" t="n"/>
      <c r="F723" s="93" t="n"/>
      <c r="G723" s="93" t="n"/>
      <c r="H723" s="93" t="n"/>
      <c r="I723" s="105">
        <f>IF($A723="","",SUM(D723:H723))</f>
        <v/>
      </c>
    </row>
    <row r="724" ht="15" customHeight="1" s="71">
      <c r="A724" s="87" t="n"/>
      <c r="B724" s="91" t="n"/>
      <c r="C724" s="89">
        <f>IF(OR($A724="",$B724=""),"",IFERROR(VLOOKUP($B724,Employés!$A:$B,2,0),""))</f>
        <v/>
      </c>
      <c r="D724" s="93" t="n"/>
      <c r="E724" s="93" t="n"/>
      <c r="F724" s="93" t="n"/>
      <c r="G724" s="93" t="n"/>
      <c r="H724" s="93" t="n"/>
      <c r="I724" s="105">
        <f>IF($A724="","",SUM(D724:H724))</f>
        <v/>
      </c>
    </row>
    <row r="725" ht="15" customHeight="1" s="71">
      <c r="A725" s="87" t="n"/>
      <c r="B725" s="91" t="n"/>
      <c r="C725" s="89">
        <f>IF(OR($A725="",$B725=""),"",IFERROR(VLOOKUP($B725,Employés!$A:$B,2,0),""))</f>
        <v/>
      </c>
      <c r="D725" s="93" t="n"/>
      <c r="E725" s="93" t="n"/>
      <c r="F725" s="93" t="n"/>
      <c r="G725" s="93" t="n"/>
      <c r="H725" s="93" t="n"/>
      <c r="I725" s="105">
        <f>IF($A725="","",SUM(D725:H725))</f>
        <v/>
      </c>
    </row>
    <row r="726" ht="15" customHeight="1" s="71">
      <c r="A726" s="87" t="n"/>
      <c r="B726" s="91" t="n"/>
      <c r="C726" s="89">
        <f>IF(OR($A726="",$B726=""),"",IFERROR(VLOOKUP($B726,Employés!$A:$B,2,0),""))</f>
        <v/>
      </c>
      <c r="D726" s="93" t="n"/>
      <c r="E726" s="93" t="n"/>
      <c r="F726" s="93" t="n"/>
      <c r="G726" s="93" t="n"/>
      <c r="H726" s="93" t="n"/>
      <c r="I726" s="105">
        <f>IF($A726="","",SUM(D726:H726))</f>
        <v/>
      </c>
    </row>
    <row r="727" ht="15" customHeight="1" s="71">
      <c r="A727" s="87" t="n"/>
      <c r="B727" s="91" t="n"/>
      <c r="C727" s="89">
        <f>IF(OR($A727="",$B727=""),"",IFERROR(VLOOKUP($B727,Employés!$A:$B,2,0),""))</f>
        <v/>
      </c>
      <c r="D727" s="93" t="n"/>
      <c r="E727" s="93" t="n"/>
      <c r="F727" s="93" t="n"/>
      <c r="G727" s="93" t="n"/>
      <c r="H727" s="93" t="n"/>
      <c r="I727" s="105">
        <f>IF($A727="","",SUM(D727:H727))</f>
        <v/>
      </c>
    </row>
    <row r="728" ht="15" customHeight="1" s="71">
      <c r="A728" s="87" t="n"/>
      <c r="B728" s="91" t="n"/>
      <c r="C728" s="89">
        <f>IF(OR($A728="",$B728=""),"",IFERROR(VLOOKUP($B728,Employés!$A:$B,2,0),""))</f>
        <v/>
      </c>
      <c r="D728" s="93" t="n"/>
      <c r="E728" s="93" t="n"/>
      <c r="F728" s="93" t="n"/>
      <c r="G728" s="93" t="n"/>
      <c r="H728" s="93" t="n"/>
      <c r="I728" s="105">
        <f>IF($A728="","",SUM(D728:H728))</f>
        <v/>
      </c>
    </row>
    <row r="729" ht="15" customHeight="1" s="71">
      <c r="A729" s="87" t="n"/>
      <c r="B729" s="91" t="n"/>
      <c r="C729" s="89">
        <f>IF(OR($A729="",$B729=""),"",IFERROR(VLOOKUP($B729,Employés!$A:$B,2,0),""))</f>
        <v/>
      </c>
      <c r="D729" s="93" t="n"/>
      <c r="E729" s="93" t="n"/>
      <c r="F729" s="93" t="n"/>
      <c r="G729" s="93" t="n"/>
      <c r="H729" s="93" t="n"/>
      <c r="I729" s="105">
        <f>IF($A729="","",SUM(D729:H729))</f>
        <v/>
      </c>
    </row>
    <row r="730" ht="15" customHeight="1" s="71">
      <c r="A730" s="87" t="n"/>
      <c r="B730" s="91" t="n"/>
      <c r="C730" s="89">
        <f>IF(OR($A730="",$B730=""),"",IFERROR(VLOOKUP($B730,Employés!$A:$B,2,0),""))</f>
        <v/>
      </c>
      <c r="D730" s="93" t="n"/>
      <c r="E730" s="93" t="n"/>
      <c r="F730" s="93" t="n"/>
      <c r="G730" s="93" t="n"/>
      <c r="H730" s="93" t="n"/>
      <c r="I730" s="105">
        <f>IF($A730="","",SUM(D730:H730))</f>
        <v/>
      </c>
    </row>
    <row r="731" ht="15" customHeight="1" s="71">
      <c r="A731" s="87" t="n"/>
      <c r="B731" s="91" t="n"/>
      <c r="C731" s="89">
        <f>IF(OR($A731="",$B731=""),"",IFERROR(VLOOKUP($B731,Employés!$A:$B,2,0),""))</f>
        <v/>
      </c>
      <c r="D731" s="93" t="n"/>
      <c r="E731" s="93" t="n"/>
      <c r="F731" s="93" t="n"/>
      <c r="G731" s="93" t="n"/>
      <c r="H731" s="93" t="n"/>
      <c r="I731" s="105">
        <f>IF($A731="","",SUM(D731:H731))</f>
        <v/>
      </c>
    </row>
    <row r="732" ht="15" customHeight="1" s="71">
      <c r="A732" s="87" t="n"/>
      <c r="B732" s="91" t="n"/>
      <c r="C732" s="89">
        <f>IF(OR($A732="",$B732=""),"",IFERROR(VLOOKUP($B732,Employés!$A:$B,2,0),""))</f>
        <v/>
      </c>
      <c r="D732" s="93" t="n"/>
      <c r="E732" s="93" t="n"/>
      <c r="F732" s="93" t="n"/>
      <c r="G732" s="93" t="n"/>
      <c r="H732" s="93" t="n"/>
      <c r="I732" s="105">
        <f>IF($A732="","",SUM(D732:H732))</f>
        <v/>
      </c>
    </row>
    <row r="733" ht="15" customHeight="1" s="71">
      <c r="A733" s="87" t="n"/>
      <c r="B733" s="91" t="n"/>
      <c r="C733" s="89">
        <f>IF(OR($A733="",$B733=""),"",IFERROR(VLOOKUP($B733,Employés!$A:$B,2,0),""))</f>
        <v/>
      </c>
      <c r="D733" s="93" t="n"/>
      <c r="E733" s="93" t="n"/>
      <c r="F733" s="93" t="n"/>
      <c r="G733" s="93" t="n"/>
      <c r="H733" s="93" t="n"/>
      <c r="I733" s="105">
        <f>IF($A733="","",SUM(D733:H733))</f>
        <v/>
      </c>
    </row>
    <row r="734" ht="15" customHeight="1" s="71">
      <c r="A734" s="87" t="n"/>
      <c r="B734" s="91" t="n"/>
      <c r="C734" s="89">
        <f>IF(OR($A734="",$B734=""),"",IFERROR(VLOOKUP($B734,Employés!$A:$B,2,0),""))</f>
        <v/>
      </c>
      <c r="D734" s="93" t="n"/>
      <c r="E734" s="93" t="n"/>
      <c r="F734" s="93" t="n"/>
      <c r="G734" s="93" t="n"/>
      <c r="H734" s="93" t="n"/>
      <c r="I734" s="105">
        <f>IF($A734="","",SUM(D734:H734))</f>
        <v/>
      </c>
    </row>
    <row r="735" ht="15" customHeight="1" s="71">
      <c r="A735" s="87" t="n"/>
      <c r="B735" s="91" t="n"/>
      <c r="C735" s="89">
        <f>IF(OR($A735="",$B735=""),"",IFERROR(VLOOKUP($B735,Employés!$A:$B,2,0),""))</f>
        <v/>
      </c>
      <c r="D735" s="93" t="n"/>
      <c r="E735" s="93" t="n"/>
      <c r="F735" s="93" t="n"/>
      <c r="G735" s="93" t="n"/>
      <c r="H735" s="93" t="n"/>
      <c r="I735" s="105">
        <f>IF($A735="","",SUM(D735:H735))</f>
        <v/>
      </c>
    </row>
    <row r="736" ht="15" customHeight="1" s="71">
      <c r="A736" s="87" t="n"/>
      <c r="B736" s="91" t="n"/>
      <c r="C736" s="89">
        <f>IF(OR($A736="",$B736=""),"",IFERROR(VLOOKUP($B736,Employés!$A:$B,2,0),""))</f>
        <v/>
      </c>
      <c r="D736" s="93" t="n"/>
      <c r="E736" s="93" t="n"/>
      <c r="F736" s="93" t="n"/>
      <c r="G736" s="93" t="n"/>
      <c r="H736" s="93" t="n"/>
      <c r="I736" s="105">
        <f>IF($A736="","",SUM(D736:H736))</f>
        <v/>
      </c>
    </row>
    <row r="737" ht="15" customHeight="1" s="71">
      <c r="A737" s="87" t="n"/>
      <c r="B737" s="91" t="n"/>
      <c r="C737" s="89">
        <f>IF(OR($A737="",$B737=""),"",IFERROR(VLOOKUP($B737,Employés!$A:$B,2,0),""))</f>
        <v/>
      </c>
      <c r="D737" s="93" t="n"/>
      <c r="E737" s="93" t="n"/>
      <c r="F737" s="93" t="n"/>
      <c r="G737" s="93" t="n"/>
      <c r="H737" s="93" t="n"/>
      <c r="I737" s="105">
        <f>IF($A737="","",SUM(D737:H737))</f>
        <v/>
      </c>
    </row>
    <row r="738" ht="15" customHeight="1" s="71">
      <c r="A738" s="87" t="n"/>
      <c r="B738" s="91" t="n"/>
      <c r="C738" s="89">
        <f>IF(OR($A738="",$B738=""),"",IFERROR(VLOOKUP($B738,Employés!$A:$B,2,0),""))</f>
        <v/>
      </c>
      <c r="D738" s="93" t="n"/>
      <c r="E738" s="93" t="n"/>
      <c r="F738" s="93" t="n"/>
      <c r="G738" s="93" t="n"/>
      <c r="H738" s="93" t="n"/>
      <c r="I738" s="105">
        <f>IF($A738="","",SUM(D738:H738))</f>
        <v/>
      </c>
    </row>
    <row r="739" ht="15" customHeight="1" s="71">
      <c r="A739" s="87" t="n"/>
      <c r="B739" s="91" t="n"/>
      <c r="C739" s="89">
        <f>IF(OR($A739="",$B739=""),"",IFERROR(VLOOKUP($B739,Employés!$A:$B,2,0),""))</f>
        <v/>
      </c>
      <c r="D739" s="93" t="n"/>
      <c r="E739" s="93" t="n"/>
      <c r="F739" s="93" t="n"/>
      <c r="G739" s="93" t="n"/>
      <c r="H739" s="93" t="n"/>
      <c r="I739" s="105">
        <f>IF($A739="","",SUM(D739:H739))</f>
        <v/>
      </c>
    </row>
    <row r="740" ht="15" customHeight="1" s="71">
      <c r="A740" s="87" t="n"/>
      <c r="B740" s="91" t="n"/>
      <c r="C740" s="89">
        <f>IF(OR($A740="",$B740=""),"",IFERROR(VLOOKUP($B740,Employés!$A:$B,2,0),""))</f>
        <v/>
      </c>
      <c r="D740" s="93" t="n"/>
      <c r="E740" s="93" t="n"/>
      <c r="F740" s="93" t="n"/>
      <c r="G740" s="93" t="n"/>
      <c r="H740" s="93" t="n"/>
      <c r="I740" s="105">
        <f>IF($A740="","",SUM(D740:H740))</f>
        <v/>
      </c>
    </row>
    <row r="741" ht="15" customHeight="1" s="71">
      <c r="A741" s="87" t="n"/>
      <c r="B741" s="91" t="n"/>
      <c r="C741" s="89">
        <f>IF(OR($A741="",$B741=""),"",IFERROR(VLOOKUP($B741,Employés!$A:$B,2,0),""))</f>
        <v/>
      </c>
      <c r="D741" s="93" t="n"/>
      <c r="E741" s="93" t="n"/>
      <c r="F741" s="93" t="n"/>
      <c r="G741" s="93" t="n"/>
      <c r="H741" s="93" t="n"/>
      <c r="I741" s="105">
        <f>IF($A741="","",SUM(D741:H741))</f>
        <v/>
      </c>
    </row>
    <row r="742" ht="15" customHeight="1" s="71">
      <c r="A742" s="87" t="n"/>
      <c r="B742" s="91" t="n"/>
      <c r="C742" s="89">
        <f>IF(OR($A742="",$B742=""),"",IFERROR(VLOOKUP($B742,Employés!$A:$B,2,0),""))</f>
        <v/>
      </c>
      <c r="D742" s="93" t="n"/>
      <c r="E742" s="93" t="n"/>
      <c r="F742" s="93" t="n"/>
      <c r="G742" s="93" t="n"/>
      <c r="H742" s="93" t="n"/>
      <c r="I742" s="105">
        <f>IF($A742="","",SUM(D742:H742))</f>
        <v/>
      </c>
    </row>
    <row r="743" ht="15" customHeight="1" s="71">
      <c r="A743" s="87" t="n"/>
      <c r="B743" s="91" t="n"/>
      <c r="C743" s="89">
        <f>IF(OR($A743="",$B743=""),"",IFERROR(VLOOKUP($B743,Employés!$A:$B,2,0),""))</f>
        <v/>
      </c>
      <c r="D743" s="93" t="n"/>
      <c r="E743" s="93" t="n"/>
      <c r="F743" s="93" t="n"/>
      <c r="G743" s="93" t="n"/>
      <c r="H743" s="93" t="n"/>
      <c r="I743" s="105">
        <f>IF($A743="","",SUM(D743:H743))</f>
        <v/>
      </c>
    </row>
    <row r="744" ht="15" customHeight="1" s="71">
      <c r="A744" s="87" t="n"/>
      <c r="B744" s="91" t="n"/>
      <c r="C744" s="89">
        <f>IF(OR($A744="",$B744=""),"",IFERROR(VLOOKUP($B744,Employés!$A:$B,2,0),""))</f>
        <v/>
      </c>
      <c r="D744" s="93" t="n"/>
      <c r="E744" s="93" t="n"/>
      <c r="F744" s="93" t="n"/>
      <c r="G744" s="93" t="n"/>
      <c r="H744" s="93" t="n"/>
      <c r="I744" s="105">
        <f>IF($A744="","",SUM(D744:H744))</f>
        <v/>
      </c>
    </row>
    <row r="745" ht="15" customHeight="1" s="71">
      <c r="A745" s="87" t="n"/>
      <c r="B745" s="91" t="n"/>
      <c r="C745" s="89">
        <f>IF(OR($A745="",$B745=""),"",IFERROR(VLOOKUP($B745,Employés!$A:$B,2,0),""))</f>
        <v/>
      </c>
      <c r="D745" s="93" t="n"/>
      <c r="E745" s="93" t="n"/>
      <c r="F745" s="93" t="n"/>
      <c r="G745" s="93" t="n"/>
      <c r="H745" s="93" t="n"/>
      <c r="I745" s="105">
        <f>IF($A745="","",SUM(D745:H745))</f>
        <v/>
      </c>
    </row>
    <row r="746" ht="15" customHeight="1" s="71">
      <c r="A746" s="87" t="n"/>
      <c r="B746" s="91" t="n"/>
      <c r="C746" s="89">
        <f>IF(OR($A746="",$B746=""),"",IFERROR(VLOOKUP($B746,Employés!$A:$B,2,0),""))</f>
        <v/>
      </c>
      <c r="D746" s="93" t="n"/>
      <c r="E746" s="93" t="n"/>
      <c r="F746" s="93" t="n"/>
      <c r="G746" s="93" t="n"/>
      <c r="H746" s="93" t="n"/>
      <c r="I746" s="105">
        <f>IF($A746="","",SUM(D746:H746))</f>
        <v/>
      </c>
    </row>
    <row r="747" ht="15" customHeight="1" s="71">
      <c r="A747" s="87" t="n"/>
      <c r="B747" s="91" t="n"/>
      <c r="C747" s="89">
        <f>IF(OR($A747="",$B747=""),"",IFERROR(VLOOKUP($B747,Employés!$A:$B,2,0),""))</f>
        <v/>
      </c>
      <c r="D747" s="93" t="n"/>
      <c r="E747" s="93" t="n"/>
      <c r="F747" s="93" t="n"/>
      <c r="G747" s="93" t="n"/>
      <c r="H747" s="93" t="n"/>
      <c r="I747" s="105">
        <f>IF($A747="","",SUM(D747:H747))</f>
        <v/>
      </c>
    </row>
    <row r="748" ht="15" customHeight="1" s="71">
      <c r="A748" s="87" t="n"/>
      <c r="B748" s="91" t="n"/>
      <c r="C748" s="89">
        <f>IF(OR($A748="",$B748=""),"",IFERROR(VLOOKUP($B748,Employés!$A:$B,2,0),""))</f>
        <v/>
      </c>
      <c r="D748" s="93" t="n"/>
      <c r="E748" s="93" t="n"/>
      <c r="F748" s="93" t="n"/>
      <c r="G748" s="93" t="n"/>
      <c r="H748" s="93" t="n"/>
      <c r="I748" s="105">
        <f>IF($A748="","",SUM(D748:H748))</f>
        <v/>
      </c>
    </row>
    <row r="749" ht="15" customHeight="1" s="71">
      <c r="A749" s="87" t="n"/>
      <c r="B749" s="91" t="n"/>
      <c r="C749" s="89">
        <f>IF(OR($A749="",$B749=""),"",IFERROR(VLOOKUP($B749,Employés!$A:$B,2,0),""))</f>
        <v/>
      </c>
      <c r="D749" s="93" t="n"/>
      <c r="E749" s="93" t="n"/>
      <c r="F749" s="93" t="n"/>
      <c r="G749" s="93" t="n"/>
      <c r="H749" s="93" t="n"/>
      <c r="I749" s="105">
        <f>IF($A749="","",SUM(D749:H749))</f>
        <v/>
      </c>
    </row>
    <row r="750" ht="15" customHeight="1" s="71">
      <c r="A750" s="87" t="n"/>
      <c r="B750" s="91" t="n"/>
      <c r="C750" s="89">
        <f>IF(OR($A750="",$B750=""),"",IFERROR(VLOOKUP($B750,Employés!$A:$B,2,0),""))</f>
        <v/>
      </c>
      <c r="D750" s="93" t="n"/>
      <c r="E750" s="93" t="n"/>
      <c r="F750" s="93" t="n"/>
      <c r="G750" s="93" t="n"/>
      <c r="H750" s="93" t="n"/>
      <c r="I750" s="105">
        <f>IF($A750="","",SUM(D750:H750))</f>
        <v/>
      </c>
    </row>
    <row r="751" ht="15" customHeight="1" s="71">
      <c r="A751" s="87" t="n"/>
      <c r="B751" s="91" t="n"/>
      <c r="C751" s="89">
        <f>IF(OR($A751="",$B751=""),"",IFERROR(VLOOKUP($B751,Employés!$A:$B,2,0),""))</f>
        <v/>
      </c>
      <c r="D751" s="93" t="n"/>
      <c r="E751" s="93" t="n"/>
      <c r="F751" s="93" t="n"/>
      <c r="G751" s="93" t="n"/>
      <c r="H751" s="93" t="n"/>
      <c r="I751" s="105">
        <f>IF($A751="","",SUM(D751:H751))</f>
        <v/>
      </c>
    </row>
    <row r="752" ht="15" customHeight="1" s="71">
      <c r="A752" s="87" t="n"/>
      <c r="B752" s="91" t="n"/>
      <c r="C752" s="89">
        <f>IF(OR($A752="",$B752=""),"",IFERROR(VLOOKUP($B752,Employés!$A:$B,2,0),""))</f>
        <v/>
      </c>
      <c r="D752" s="93" t="n"/>
      <c r="E752" s="93" t="n"/>
      <c r="F752" s="93" t="n"/>
      <c r="G752" s="93" t="n"/>
      <c r="H752" s="93" t="n"/>
      <c r="I752" s="105">
        <f>IF($A752="","",SUM(D752:H752))</f>
        <v/>
      </c>
    </row>
    <row r="753" ht="15" customHeight="1" s="71">
      <c r="A753" s="87" t="n"/>
      <c r="B753" s="91" t="n"/>
      <c r="C753" s="89">
        <f>IF(OR($A753="",$B753=""),"",IFERROR(VLOOKUP($B753,Employés!$A:$B,2,0),""))</f>
        <v/>
      </c>
      <c r="D753" s="93" t="n"/>
      <c r="E753" s="93" t="n"/>
      <c r="F753" s="93" t="n"/>
      <c r="G753" s="93" t="n"/>
      <c r="H753" s="93" t="n"/>
      <c r="I753" s="105">
        <f>IF($A753="","",SUM(D753:H753))</f>
        <v/>
      </c>
    </row>
    <row r="754" ht="15" customHeight="1" s="71">
      <c r="A754" s="87" t="n"/>
      <c r="B754" s="91" t="n"/>
      <c r="C754" s="89">
        <f>IF(OR($A754="",$B754=""),"",IFERROR(VLOOKUP($B754,Employés!$A:$B,2,0),""))</f>
        <v/>
      </c>
      <c r="D754" s="93" t="n"/>
      <c r="E754" s="93" t="n"/>
      <c r="F754" s="93" t="n"/>
      <c r="G754" s="93" t="n"/>
      <c r="H754" s="93" t="n"/>
      <c r="I754" s="105">
        <f>IF($A754="","",SUM(D754:H754))</f>
        <v/>
      </c>
    </row>
    <row r="755" ht="15" customHeight="1" s="71">
      <c r="A755" s="87" t="n"/>
      <c r="B755" s="91" t="n"/>
      <c r="C755" s="89">
        <f>IF(OR($A755="",$B755=""),"",IFERROR(VLOOKUP($B755,Employés!$A:$B,2,0),""))</f>
        <v/>
      </c>
      <c r="D755" s="93" t="n"/>
      <c r="E755" s="93" t="n"/>
      <c r="F755" s="93" t="n"/>
      <c r="G755" s="93" t="n"/>
      <c r="H755" s="93" t="n"/>
      <c r="I755" s="105">
        <f>IF($A755="","",SUM(D755:H755))</f>
        <v/>
      </c>
    </row>
    <row r="756" ht="15" customHeight="1" s="71">
      <c r="A756" s="87" t="n"/>
      <c r="B756" s="91" t="n"/>
      <c r="C756" s="89">
        <f>IF(OR($A756="",$B756=""),"",IFERROR(VLOOKUP($B756,Employés!$A:$B,2,0),""))</f>
        <v/>
      </c>
      <c r="D756" s="93" t="n"/>
      <c r="E756" s="93" t="n"/>
      <c r="F756" s="93" t="n"/>
      <c r="G756" s="93" t="n"/>
      <c r="H756" s="93" t="n"/>
      <c r="I756" s="105">
        <f>IF($A756="","",SUM(D756:H756))</f>
        <v/>
      </c>
    </row>
    <row r="757" ht="15" customHeight="1" s="71">
      <c r="A757" s="87" t="n"/>
      <c r="B757" s="91" t="n"/>
      <c r="C757" s="89">
        <f>IF(OR($A757="",$B757=""),"",IFERROR(VLOOKUP($B757,Employés!$A:$B,2,0),""))</f>
        <v/>
      </c>
      <c r="D757" s="93" t="n"/>
      <c r="E757" s="93" t="n"/>
      <c r="F757" s="93" t="n"/>
      <c r="G757" s="93" t="n"/>
      <c r="H757" s="93" t="n"/>
      <c r="I757" s="105">
        <f>IF($A757="","",SUM(D757:H757))</f>
        <v/>
      </c>
    </row>
    <row r="758" ht="15" customHeight="1" s="71">
      <c r="A758" s="87" t="n"/>
      <c r="B758" s="91" t="n"/>
      <c r="C758" s="89">
        <f>IF(OR($A758="",$B758=""),"",IFERROR(VLOOKUP($B758,Employés!$A:$B,2,0),""))</f>
        <v/>
      </c>
      <c r="D758" s="93" t="n"/>
      <c r="E758" s="93" t="n"/>
      <c r="F758" s="93" t="n"/>
      <c r="G758" s="93" t="n"/>
      <c r="H758" s="93" t="n"/>
      <c r="I758" s="105">
        <f>IF($A758="","",SUM(D758:H758))</f>
        <v/>
      </c>
    </row>
    <row r="759" ht="15" customHeight="1" s="71">
      <c r="A759" s="87" t="n"/>
      <c r="B759" s="91" t="n"/>
      <c r="C759" s="89">
        <f>IF(OR($A759="",$B759=""),"",IFERROR(VLOOKUP($B759,Employés!$A:$B,2,0),""))</f>
        <v/>
      </c>
      <c r="D759" s="93" t="n"/>
      <c r="E759" s="93" t="n"/>
      <c r="F759" s="93" t="n"/>
      <c r="G759" s="93" t="n"/>
      <c r="H759" s="93" t="n"/>
      <c r="I759" s="105">
        <f>IF($A759="","",SUM(D759:H759))</f>
        <v/>
      </c>
    </row>
    <row r="760" ht="15" customHeight="1" s="71">
      <c r="A760" s="87" t="n"/>
      <c r="B760" s="91" t="n"/>
      <c r="C760" s="89">
        <f>IF(OR($A760="",$B760=""),"",IFERROR(VLOOKUP($B760,Employés!$A:$B,2,0),""))</f>
        <v/>
      </c>
      <c r="D760" s="93" t="n"/>
      <c r="E760" s="93" t="n"/>
      <c r="F760" s="93" t="n"/>
      <c r="G760" s="93" t="n"/>
      <c r="H760" s="93" t="n"/>
      <c r="I760" s="105">
        <f>IF($A760="","",SUM(D760:H760))</f>
        <v/>
      </c>
    </row>
    <row r="761" ht="15" customHeight="1" s="71">
      <c r="A761" s="87" t="n"/>
      <c r="B761" s="91" t="n"/>
      <c r="C761" s="89">
        <f>IF(OR($A761="",$B761=""),"",IFERROR(VLOOKUP($B761,Employés!$A:$B,2,0),""))</f>
        <v/>
      </c>
      <c r="D761" s="93" t="n"/>
      <c r="E761" s="93" t="n"/>
      <c r="F761" s="93" t="n"/>
      <c r="G761" s="93" t="n"/>
      <c r="H761" s="93" t="n"/>
      <c r="I761" s="105">
        <f>IF($A761="","",SUM(D761:H761))</f>
        <v/>
      </c>
    </row>
    <row r="762" ht="15" customHeight="1" s="71">
      <c r="A762" s="87" t="n"/>
      <c r="B762" s="91" t="n"/>
      <c r="C762" s="89">
        <f>IF(OR($A762="",$B762=""),"",IFERROR(VLOOKUP($B762,Employés!$A:$B,2,0),""))</f>
        <v/>
      </c>
      <c r="D762" s="93" t="n"/>
      <c r="E762" s="93" t="n"/>
      <c r="F762" s="93" t="n"/>
      <c r="G762" s="93" t="n"/>
      <c r="H762" s="93" t="n"/>
      <c r="I762" s="105">
        <f>IF($A762="","",SUM(D762:H762))</f>
        <v/>
      </c>
    </row>
    <row r="763" ht="15" customHeight="1" s="71">
      <c r="A763" s="87" t="n"/>
      <c r="B763" s="91" t="n"/>
      <c r="C763" s="89">
        <f>IF(OR($A763="",$B763=""),"",IFERROR(VLOOKUP($B763,Employés!$A:$B,2,0),""))</f>
        <v/>
      </c>
      <c r="D763" s="93" t="n"/>
      <c r="E763" s="93" t="n"/>
      <c r="F763" s="93" t="n"/>
      <c r="G763" s="93" t="n"/>
      <c r="H763" s="93" t="n"/>
      <c r="I763" s="105">
        <f>IF($A763="","",SUM(D763:H763))</f>
        <v/>
      </c>
    </row>
    <row r="764" ht="15" customHeight="1" s="71">
      <c r="A764" s="87" t="n"/>
      <c r="B764" s="91" t="n"/>
      <c r="C764" s="89">
        <f>IF(OR($A764="",$B764=""),"",IFERROR(VLOOKUP($B764,Employés!$A:$B,2,0),""))</f>
        <v/>
      </c>
      <c r="D764" s="93" t="n"/>
      <c r="E764" s="93" t="n"/>
      <c r="F764" s="93" t="n"/>
      <c r="G764" s="93" t="n"/>
      <c r="H764" s="93" t="n"/>
      <c r="I764" s="105">
        <f>IF($A764="","",SUM(D764:H764))</f>
        <v/>
      </c>
    </row>
    <row r="765" ht="15" customHeight="1" s="71">
      <c r="A765" s="87" t="n"/>
      <c r="B765" s="91" t="n"/>
      <c r="C765" s="89">
        <f>IF(OR($A765="",$B765=""),"",IFERROR(VLOOKUP($B765,Employés!$A:$B,2,0),""))</f>
        <v/>
      </c>
      <c r="D765" s="93" t="n"/>
      <c r="E765" s="93" t="n"/>
      <c r="F765" s="93" t="n"/>
      <c r="G765" s="93" t="n"/>
      <c r="H765" s="93" t="n"/>
      <c r="I765" s="105">
        <f>IF($A765="","",SUM(D765:H765))</f>
        <v/>
      </c>
    </row>
    <row r="766" ht="15" customHeight="1" s="71">
      <c r="A766" s="87" t="n"/>
      <c r="B766" s="91" t="n"/>
      <c r="C766" s="89">
        <f>IF(OR($A766="",$B766=""),"",IFERROR(VLOOKUP($B766,Employés!$A:$B,2,0),""))</f>
        <v/>
      </c>
      <c r="D766" s="93" t="n"/>
      <c r="E766" s="93" t="n"/>
      <c r="F766" s="93" t="n"/>
      <c r="G766" s="93" t="n"/>
      <c r="H766" s="93" t="n"/>
      <c r="I766" s="105">
        <f>IF($A766="","",SUM(D766:H766))</f>
        <v/>
      </c>
    </row>
    <row r="767" ht="15" customHeight="1" s="71">
      <c r="A767" s="87" t="n"/>
      <c r="B767" s="91" t="n"/>
      <c r="C767" s="89">
        <f>IF(OR($A767="",$B767=""),"",IFERROR(VLOOKUP($B767,Employés!$A:$B,2,0),""))</f>
        <v/>
      </c>
      <c r="D767" s="93" t="n"/>
      <c r="E767" s="93" t="n"/>
      <c r="F767" s="93" t="n"/>
      <c r="G767" s="93" t="n"/>
      <c r="H767" s="93" t="n"/>
      <c r="I767" s="105">
        <f>IF($A767="","",SUM(D767:H767))</f>
        <v/>
      </c>
    </row>
    <row r="768" ht="15" customHeight="1" s="71">
      <c r="A768" s="87" t="n"/>
      <c r="B768" s="91" t="n"/>
      <c r="C768" s="89">
        <f>IF(OR($A768="",$B768=""),"",IFERROR(VLOOKUP($B768,Employés!$A:$B,2,0),""))</f>
        <v/>
      </c>
      <c r="D768" s="93" t="n"/>
      <c r="E768" s="93" t="n"/>
      <c r="F768" s="93" t="n"/>
      <c r="G768" s="93" t="n"/>
      <c r="H768" s="93" t="n"/>
      <c r="I768" s="105">
        <f>IF($A768="","",SUM(D768:H768))</f>
        <v/>
      </c>
    </row>
    <row r="769" ht="15" customHeight="1" s="71">
      <c r="A769" s="87" t="n"/>
      <c r="B769" s="91" t="n"/>
      <c r="C769" s="89">
        <f>IF(OR($A769="",$B769=""),"",IFERROR(VLOOKUP($B769,Employés!$A:$B,2,0),""))</f>
        <v/>
      </c>
      <c r="D769" s="93" t="n"/>
      <c r="E769" s="93" t="n"/>
      <c r="F769" s="93" t="n"/>
      <c r="G769" s="93" t="n"/>
      <c r="H769" s="93" t="n"/>
      <c r="I769" s="105">
        <f>IF($A769="","",SUM(D769:H769))</f>
        <v/>
      </c>
    </row>
    <row r="770" ht="15" customHeight="1" s="71">
      <c r="A770" s="87" t="n"/>
      <c r="B770" s="91" t="n"/>
      <c r="C770" s="89">
        <f>IF(OR($A770="",$B770=""),"",IFERROR(VLOOKUP($B770,Employés!$A:$B,2,0),""))</f>
        <v/>
      </c>
      <c r="D770" s="93" t="n"/>
      <c r="E770" s="93" t="n"/>
      <c r="F770" s="93" t="n"/>
      <c r="G770" s="93" t="n"/>
      <c r="H770" s="93" t="n"/>
      <c r="I770" s="105">
        <f>IF($A770="","",SUM(D770:H770))</f>
        <v/>
      </c>
    </row>
    <row r="771" ht="15" customHeight="1" s="71">
      <c r="A771" s="87" t="n"/>
      <c r="B771" s="91" t="n"/>
      <c r="C771" s="89">
        <f>IF(OR($A771="",$B771=""),"",IFERROR(VLOOKUP($B771,Employés!$A:$B,2,0),""))</f>
        <v/>
      </c>
      <c r="D771" s="93" t="n"/>
      <c r="E771" s="93" t="n"/>
      <c r="F771" s="93" t="n"/>
      <c r="G771" s="93" t="n"/>
      <c r="H771" s="93" t="n"/>
      <c r="I771" s="105">
        <f>IF($A771="","",SUM(D771:H771))</f>
        <v/>
      </c>
    </row>
    <row r="772" ht="15" customHeight="1" s="71">
      <c r="A772" s="87" t="n"/>
      <c r="B772" s="91" t="n"/>
      <c r="C772" s="89">
        <f>IF(OR($A772="",$B772=""),"",IFERROR(VLOOKUP($B772,Employés!$A:$B,2,0),""))</f>
        <v/>
      </c>
      <c r="D772" s="93" t="n"/>
      <c r="E772" s="93" t="n"/>
      <c r="F772" s="93" t="n"/>
      <c r="G772" s="93" t="n"/>
      <c r="H772" s="93" t="n"/>
      <c r="I772" s="105">
        <f>IF($A772="","",SUM(D772:H772))</f>
        <v/>
      </c>
    </row>
    <row r="773" ht="15" customHeight="1" s="71">
      <c r="A773" s="87" t="n"/>
      <c r="B773" s="91" t="n"/>
      <c r="C773" s="89">
        <f>IF(OR($A773="",$B773=""),"",IFERROR(VLOOKUP($B773,Employés!$A:$B,2,0),""))</f>
        <v/>
      </c>
      <c r="D773" s="93" t="n"/>
      <c r="E773" s="93" t="n"/>
      <c r="F773" s="93" t="n"/>
      <c r="G773" s="93" t="n"/>
      <c r="H773" s="93" t="n"/>
      <c r="I773" s="105">
        <f>IF($A773="","",SUM(D773:H773))</f>
        <v/>
      </c>
    </row>
    <row r="774" ht="15" customHeight="1" s="71">
      <c r="A774" s="87" t="n"/>
      <c r="B774" s="91" t="n"/>
      <c r="C774" s="89">
        <f>IF(OR($A774="",$B774=""),"",IFERROR(VLOOKUP($B774,Employés!$A:$B,2,0),""))</f>
        <v/>
      </c>
      <c r="D774" s="93" t="n"/>
      <c r="E774" s="93" t="n"/>
      <c r="F774" s="93" t="n"/>
      <c r="G774" s="93" t="n"/>
      <c r="H774" s="93" t="n"/>
      <c r="I774" s="105">
        <f>IF($A774="","",SUM(D774:H774))</f>
        <v/>
      </c>
    </row>
    <row r="775" ht="15" customHeight="1" s="71">
      <c r="A775" s="87" t="n"/>
      <c r="B775" s="91" t="n"/>
      <c r="C775" s="89">
        <f>IF(OR($A775="",$B775=""),"",IFERROR(VLOOKUP($B775,Employés!$A:$B,2,0),""))</f>
        <v/>
      </c>
      <c r="D775" s="93" t="n"/>
      <c r="E775" s="93" t="n"/>
      <c r="F775" s="93" t="n"/>
      <c r="G775" s="93" t="n"/>
      <c r="H775" s="93" t="n"/>
      <c r="I775" s="105">
        <f>IF($A775="","",SUM(D775:H775))</f>
        <v/>
      </c>
    </row>
    <row r="776" ht="15" customHeight="1" s="71">
      <c r="A776" s="87" t="n"/>
      <c r="B776" s="91" t="n"/>
      <c r="C776" s="89">
        <f>IF(OR($A776="",$B776=""),"",IFERROR(VLOOKUP($B776,Employés!$A:$B,2,0),""))</f>
        <v/>
      </c>
      <c r="D776" s="93" t="n"/>
      <c r="E776" s="93" t="n"/>
      <c r="F776" s="93" t="n"/>
      <c r="G776" s="93" t="n"/>
      <c r="H776" s="93" t="n"/>
      <c r="I776" s="105">
        <f>IF($A776="","",SUM(D776:H776))</f>
        <v/>
      </c>
    </row>
    <row r="777" ht="15" customHeight="1" s="71">
      <c r="A777" s="87" t="n"/>
      <c r="B777" s="91" t="n"/>
      <c r="C777" s="89">
        <f>IF(OR($A777="",$B777=""),"",IFERROR(VLOOKUP($B777,Employés!$A:$B,2,0),""))</f>
        <v/>
      </c>
      <c r="D777" s="93" t="n"/>
      <c r="E777" s="93" t="n"/>
      <c r="F777" s="93" t="n"/>
      <c r="G777" s="93" t="n"/>
      <c r="H777" s="93" t="n"/>
      <c r="I777" s="105">
        <f>IF($A777="","",SUM(D777:H777))</f>
        <v/>
      </c>
    </row>
    <row r="778" ht="15" customHeight="1" s="71">
      <c r="A778" s="87" t="n"/>
      <c r="B778" s="91" t="n"/>
      <c r="C778" s="89">
        <f>IF(OR($A778="",$B778=""),"",IFERROR(VLOOKUP($B778,Employés!$A:$B,2,0),""))</f>
        <v/>
      </c>
      <c r="D778" s="93" t="n"/>
      <c r="E778" s="93" t="n"/>
      <c r="F778" s="93" t="n"/>
      <c r="G778" s="93" t="n"/>
      <c r="H778" s="93" t="n"/>
      <c r="I778" s="105">
        <f>IF($A778="","",SUM(D778:H778))</f>
        <v/>
      </c>
    </row>
    <row r="779" ht="15" customHeight="1" s="71">
      <c r="A779" s="87" t="n"/>
      <c r="B779" s="91" t="n"/>
      <c r="C779" s="89">
        <f>IF(OR($A779="",$B779=""),"",IFERROR(VLOOKUP($B779,Employés!$A:$B,2,0),""))</f>
        <v/>
      </c>
      <c r="D779" s="93" t="n"/>
      <c r="E779" s="93" t="n"/>
      <c r="F779" s="93" t="n"/>
      <c r="G779" s="93" t="n"/>
      <c r="H779" s="93" t="n"/>
      <c r="I779" s="105">
        <f>IF($A779="","",SUM(D779:H779))</f>
        <v/>
      </c>
    </row>
    <row r="780" ht="15" customHeight="1" s="71">
      <c r="A780" s="87" t="n"/>
      <c r="B780" s="91" t="n"/>
      <c r="C780" s="89">
        <f>IF(OR($A780="",$B780=""),"",IFERROR(VLOOKUP($B780,Employés!$A:$B,2,0),""))</f>
        <v/>
      </c>
      <c r="D780" s="93" t="n"/>
      <c r="E780" s="93" t="n"/>
      <c r="F780" s="93" t="n"/>
      <c r="G780" s="93" t="n"/>
      <c r="H780" s="93" t="n"/>
      <c r="I780" s="105">
        <f>IF($A780="","",SUM(D780:H780))</f>
        <v/>
      </c>
    </row>
    <row r="781" ht="15" customHeight="1" s="71">
      <c r="A781" s="87" t="n"/>
      <c r="B781" s="91" t="n"/>
      <c r="C781" s="89">
        <f>IF(OR($A781="",$B781=""),"",IFERROR(VLOOKUP($B781,Employés!$A:$B,2,0),""))</f>
        <v/>
      </c>
      <c r="D781" s="93" t="n"/>
      <c r="E781" s="93" t="n"/>
      <c r="F781" s="93" t="n"/>
      <c r="G781" s="93" t="n"/>
      <c r="H781" s="93" t="n"/>
      <c r="I781" s="105">
        <f>IF($A781="","",SUM(D781:H781))</f>
        <v/>
      </c>
    </row>
    <row r="782" ht="15" customHeight="1" s="71">
      <c r="A782" s="87" t="n"/>
      <c r="B782" s="91" t="n"/>
      <c r="C782" s="89">
        <f>IF(OR($A782="",$B782=""),"",IFERROR(VLOOKUP($B782,Employés!$A:$B,2,0),""))</f>
        <v/>
      </c>
      <c r="D782" s="93" t="n"/>
      <c r="E782" s="93" t="n"/>
      <c r="F782" s="93" t="n"/>
      <c r="G782" s="93" t="n"/>
      <c r="H782" s="93" t="n"/>
      <c r="I782" s="105">
        <f>IF($A782="","",SUM(D782:H782))</f>
        <v/>
      </c>
    </row>
    <row r="783" ht="15" customHeight="1" s="71">
      <c r="A783" s="87" t="n"/>
      <c r="B783" s="91" t="n"/>
      <c r="C783" s="89">
        <f>IF(OR($A783="",$B783=""),"",IFERROR(VLOOKUP($B783,Employés!$A:$B,2,0),""))</f>
        <v/>
      </c>
      <c r="D783" s="93" t="n"/>
      <c r="E783" s="93" t="n"/>
      <c r="F783" s="93" t="n"/>
      <c r="G783" s="93" t="n"/>
      <c r="H783" s="93" t="n"/>
      <c r="I783" s="105">
        <f>IF($A783="","",SUM(D783:H783))</f>
        <v/>
      </c>
    </row>
    <row r="784" ht="15" customHeight="1" s="71">
      <c r="A784" s="87" t="n"/>
      <c r="B784" s="91" t="n"/>
      <c r="C784" s="89">
        <f>IF(OR($A784="",$B784=""),"",IFERROR(VLOOKUP($B784,Employés!$A:$B,2,0),""))</f>
        <v/>
      </c>
      <c r="D784" s="93" t="n"/>
      <c r="E784" s="93" t="n"/>
      <c r="F784" s="93" t="n"/>
      <c r="G784" s="93" t="n"/>
      <c r="H784" s="93" t="n"/>
      <c r="I784" s="105">
        <f>IF($A784="","",SUM(D784:H784))</f>
        <v/>
      </c>
    </row>
    <row r="785" ht="15" customHeight="1" s="71">
      <c r="A785" s="87" t="n"/>
      <c r="B785" s="91" t="n"/>
      <c r="C785" s="89">
        <f>IF(OR($A785="",$B785=""),"",IFERROR(VLOOKUP($B785,Employés!$A:$B,2,0),""))</f>
        <v/>
      </c>
      <c r="D785" s="93" t="n"/>
      <c r="E785" s="93" t="n"/>
      <c r="F785" s="93" t="n"/>
      <c r="G785" s="93" t="n"/>
      <c r="H785" s="93" t="n"/>
      <c r="I785" s="105">
        <f>IF($A785="","",SUM(D785:H785))</f>
        <v/>
      </c>
    </row>
    <row r="786" ht="15" customHeight="1" s="71">
      <c r="A786" s="87" t="n"/>
      <c r="B786" s="91" t="n"/>
      <c r="C786" s="89">
        <f>IF(OR($A786="",$B786=""),"",IFERROR(VLOOKUP($B786,Employés!$A:$B,2,0),""))</f>
        <v/>
      </c>
      <c r="D786" s="93" t="n"/>
      <c r="E786" s="93" t="n"/>
      <c r="F786" s="93" t="n"/>
      <c r="G786" s="93" t="n"/>
      <c r="H786" s="93" t="n"/>
      <c r="I786" s="105">
        <f>IF($A786="","",SUM(D786:H786))</f>
        <v/>
      </c>
    </row>
    <row r="787" ht="15" customHeight="1" s="71">
      <c r="A787" s="87" t="n"/>
      <c r="B787" s="91" t="n"/>
      <c r="C787" s="89">
        <f>IF(OR($A787="",$B787=""),"",IFERROR(VLOOKUP($B787,Employés!$A:$B,2,0),""))</f>
        <v/>
      </c>
      <c r="D787" s="93" t="n"/>
      <c r="E787" s="93" t="n"/>
      <c r="F787" s="93" t="n"/>
      <c r="G787" s="93" t="n"/>
      <c r="H787" s="93" t="n"/>
      <c r="I787" s="105">
        <f>IF($A787="","",SUM(D787:H787))</f>
        <v/>
      </c>
    </row>
    <row r="788" ht="15" customHeight="1" s="71">
      <c r="A788" s="87" t="n"/>
      <c r="B788" s="91" t="n"/>
      <c r="C788" s="89">
        <f>IF(OR($A788="",$B788=""),"",IFERROR(VLOOKUP($B788,Employés!$A:$B,2,0),""))</f>
        <v/>
      </c>
      <c r="D788" s="93" t="n"/>
      <c r="E788" s="93" t="n"/>
      <c r="F788" s="93" t="n"/>
      <c r="G788" s="93" t="n"/>
      <c r="H788" s="93" t="n"/>
      <c r="I788" s="105">
        <f>IF($A788="","",SUM(D788:H788))</f>
        <v/>
      </c>
    </row>
    <row r="789" ht="15" customHeight="1" s="71">
      <c r="A789" s="87" t="n"/>
      <c r="B789" s="91" t="n"/>
      <c r="C789" s="89">
        <f>IF(OR($A789="",$B789=""),"",IFERROR(VLOOKUP($B789,Employés!$A:$B,2,0),""))</f>
        <v/>
      </c>
      <c r="D789" s="93" t="n"/>
      <c r="E789" s="93" t="n"/>
      <c r="F789" s="93" t="n"/>
      <c r="G789" s="93" t="n"/>
      <c r="H789" s="93" t="n"/>
      <c r="I789" s="105">
        <f>IF($A789="","",SUM(D789:H789))</f>
        <v/>
      </c>
    </row>
    <row r="790" ht="15" customHeight="1" s="71">
      <c r="A790" s="87" t="n"/>
      <c r="B790" s="91" t="n"/>
      <c r="C790" s="89">
        <f>IF(OR($A790="",$B790=""),"",IFERROR(VLOOKUP($B790,Employés!$A:$B,2,0),""))</f>
        <v/>
      </c>
      <c r="D790" s="93" t="n"/>
      <c r="E790" s="93" t="n"/>
      <c r="F790" s="93" t="n"/>
      <c r="G790" s="93" t="n"/>
      <c r="H790" s="93" t="n"/>
      <c r="I790" s="105">
        <f>IF($A790="","",SUM(D790:H790))</f>
        <v/>
      </c>
    </row>
    <row r="791" ht="15" customHeight="1" s="71">
      <c r="A791" s="87" t="n"/>
      <c r="B791" s="91" t="n"/>
      <c r="C791" s="89">
        <f>IF(OR($A791="",$B791=""),"",IFERROR(VLOOKUP($B791,Employés!$A:$B,2,0),""))</f>
        <v/>
      </c>
      <c r="D791" s="93" t="n"/>
      <c r="E791" s="93" t="n"/>
      <c r="F791" s="93" t="n"/>
      <c r="G791" s="93" t="n"/>
      <c r="H791" s="93" t="n"/>
      <c r="I791" s="105">
        <f>IF($A791="","",SUM(D791:H791))</f>
        <v/>
      </c>
    </row>
    <row r="792" ht="15" customHeight="1" s="71">
      <c r="A792" s="87" t="n"/>
      <c r="B792" s="91" t="n"/>
      <c r="C792" s="89">
        <f>IF(OR($A792="",$B792=""),"",IFERROR(VLOOKUP($B792,Employés!$A:$B,2,0),""))</f>
        <v/>
      </c>
      <c r="D792" s="93" t="n"/>
      <c r="E792" s="93" t="n"/>
      <c r="F792" s="93" t="n"/>
      <c r="G792" s="93" t="n"/>
      <c r="H792" s="93" t="n"/>
      <c r="I792" s="105">
        <f>IF($A792="","",SUM(D792:H792))</f>
        <v/>
      </c>
    </row>
    <row r="793" ht="15" customHeight="1" s="71">
      <c r="A793" s="87" t="n"/>
      <c r="B793" s="91" t="n"/>
      <c r="C793" s="89">
        <f>IF(OR($A793="",$B793=""),"",IFERROR(VLOOKUP($B793,Employés!$A:$B,2,0),""))</f>
        <v/>
      </c>
      <c r="D793" s="93" t="n"/>
      <c r="E793" s="93" t="n"/>
      <c r="F793" s="93" t="n"/>
      <c r="G793" s="93" t="n"/>
      <c r="H793" s="93" t="n"/>
      <c r="I793" s="105">
        <f>IF($A793="","",SUM(D793:H793))</f>
        <v/>
      </c>
    </row>
    <row r="794" ht="15" customHeight="1" s="71">
      <c r="A794" s="87" t="n"/>
      <c r="B794" s="91" t="n"/>
      <c r="C794" s="89">
        <f>IF(OR($A794="",$B794=""),"",IFERROR(VLOOKUP($B794,Employés!$A:$B,2,0),""))</f>
        <v/>
      </c>
      <c r="D794" s="93" t="n"/>
      <c r="E794" s="93" t="n"/>
      <c r="F794" s="93" t="n"/>
      <c r="G794" s="93" t="n"/>
      <c r="H794" s="93" t="n"/>
      <c r="I794" s="105">
        <f>IF($A794="","",SUM(D794:H794))</f>
        <v/>
      </c>
    </row>
    <row r="795" ht="15" customHeight="1" s="71">
      <c r="A795" s="87" t="n"/>
      <c r="B795" s="91" t="n"/>
      <c r="C795" s="89">
        <f>IF(OR($A795="",$B795=""),"",IFERROR(VLOOKUP($B795,Employés!$A:$B,2,0),""))</f>
        <v/>
      </c>
      <c r="D795" s="93" t="n"/>
      <c r="E795" s="93" t="n"/>
      <c r="F795" s="93" t="n"/>
      <c r="G795" s="93" t="n"/>
      <c r="H795" s="93" t="n"/>
      <c r="I795" s="105">
        <f>IF($A795="","",SUM(D795:H795))</f>
        <v/>
      </c>
    </row>
    <row r="796" ht="15" customHeight="1" s="71">
      <c r="A796" s="87" t="n"/>
      <c r="B796" s="91" t="n"/>
      <c r="C796" s="89">
        <f>IF(OR($A796="",$B796=""),"",IFERROR(VLOOKUP($B796,Employés!$A:$B,2,0),""))</f>
        <v/>
      </c>
      <c r="D796" s="93" t="n"/>
      <c r="E796" s="93" t="n"/>
      <c r="F796" s="93" t="n"/>
      <c r="G796" s="93" t="n"/>
      <c r="H796" s="93" t="n"/>
      <c r="I796" s="105">
        <f>IF($A796="","",SUM(D796:H796))</f>
        <v/>
      </c>
    </row>
    <row r="797" ht="15" customHeight="1" s="71">
      <c r="A797" s="87" t="n"/>
      <c r="B797" s="91" t="n"/>
      <c r="C797" s="89">
        <f>IF(OR($A797="",$B797=""),"",IFERROR(VLOOKUP($B797,Employés!$A:$B,2,0),""))</f>
        <v/>
      </c>
      <c r="D797" s="93" t="n"/>
      <c r="E797" s="93" t="n"/>
      <c r="F797" s="93" t="n"/>
      <c r="G797" s="93" t="n"/>
      <c r="H797" s="93" t="n"/>
      <c r="I797" s="105">
        <f>IF($A797="","",SUM(D797:H797))</f>
        <v/>
      </c>
    </row>
    <row r="798" ht="15" customHeight="1" s="71">
      <c r="A798" s="87" t="n"/>
      <c r="B798" s="91" t="n"/>
      <c r="C798" s="89">
        <f>IF(OR($A798="",$B798=""),"",IFERROR(VLOOKUP($B798,Employés!$A:$B,2,0),""))</f>
        <v/>
      </c>
      <c r="D798" s="93" t="n"/>
      <c r="E798" s="93" t="n"/>
      <c r="F798" s="93" t="n"/>
      <c r="G798" s="93" t="n"/>
      <c r="H798" s="93" t="n"/>
      <c r="I798" s="105">
        <f>IF($A798="","",SUM(D798:H798))</f>
        <v/>
      </c>
    </row>
    <row r="799" ht="15" customHeight="1" s="71">
      <c r="A799" s="87" t="n"/>
      <c r="B799" s="91" t="n"/>
      <c r="C799" s="89">
        <f>IF(OR($A799="",$B799=""),"",IFERROR(VLOOKUP($B799,Employés!$A:$B,2,0),""))</f>
        <v/>
      </c>
      <c r="D799" s="93" t="n"/>
      <c r="E799" s="93" t="n"/>
      <c r="F799" s="93" t="n"/>
      <c r="G799" s="93" t="n"/>
      <c r="H799" s="93" t="n"/>
      <c r="I799" s="105">
        <f>IF($A799="","",SUM(D799:H799))</f>
        <v/>
      </c>
    </row>
    <row r="800" ht="15" customHeight="1" s="71">
      <c r="A800" s="87" t="n"/>
      <c r="B800" s="91" t="n"/>
      <c r="C800" s="89">
        <f>IF(OR($A800="",$B800=""),"",IFERROR(VLOOKUP($B800,Employés!$A:$B,2,0),""))</f>
        <v/>
      </c>
      <c r="D800" s="93" t="n"/>
      <c r="E800" s="93" t="n"/>
      <c r="F800" s="93" t="n"/>
      <c r="G800" s="93" t="n"/>
      <c r="H800" s="93" t="n"/>
      <c r="I800" s="105">
        <f>IF($A800="","",SUM(D800:H800))</f>
        <v/>
      </c>
    </row>
    <row r="801" ht="15" customHeight="1" s="71">
      <c r="A801" s="87" t="n"/>
      <c r="B801" s="91" t="n"/>
      <c r="C801" s="89">
        <f>IF(OR($A801="",$B801=""),"",IFERROR(VLOOKUP($B801,Employés!$A:$B,2,0),""))</f>
        <v/>
      </c>
      <c r="D801" s="93" t="n"/>
      <c r="E801" s="93" t="n"/>
      <c r="F801" s="93" t="n"/>
      <c r="G801" s="93" t="n"/>
      <c r="H801" s="93" t="n"/>
      <c r="I801" s="105">
        <f>IF($A801="","",SUM(D801:H801))</f>
        <v/>
      </c>
    </row>
    <row r="802" ht="15" customHeight="1" s="71">
      <c r="A802" s="87" t="n"/>
      <c r="B802" s="91" t="n"/>
      <c r="C802" s="89">
        <f>IF(OR($A802="",$B802=""),"",IFERROR(VLOOKUP($B802,Employés!$A:$B,2,0),""))</f>
        <v/>
      </c>
      <c r="D802" s="93" t="n"/>
      <c r="E802" s="93" t="n"/>
      <c r="F802" s="93" t="n"/>
      <c r="G802" s="93" t="n"/>
      <c r="H802" s="93" t="n"/>
      <c r="I802" s="105">
        <f>IF($A802="","",SUM(D802:H802))</f>
        <v/>
      </c>
    </row>
    <row r="803" ht="15" customHeight="1" s="71">
      <c r="A803" s="87" t="n"/>
      <c r="B803" s="91" t="n"/>
      <c r="C803" s="89">
        <f>IF(OR($A803="",$B803=""),"",IFERROR(VLOOKUP($B803,Employés!$A:$B,2,0),""))</f>
        <v/>
      </c>
      <c r="D803" s="93" t="n"/>
      <c r="E803" s="93" t="n"/>
      <c r="F803" s="93" t="n"/>
      <c r="G803" s="93" t="n"/>
      <c r="H803" s="93" t="n"/>
      <c r="I803" s="105">
        <f>IF($A803="","",SUM(D803:H803))</f>
        <v/>
      </c>
    </row>
    <row r="804" ht="15" customHeight="1" s="71">
      <c r="A804" s="87" t="n"/>
      <c r="B804" s="91" t="n"/>
      <c r="C804" s="89">
        <f>IF(OR($A804="",$B804=""),"",IFERROR(VLOOKUP($B804,Employés!$A:$B,2,0),""))</f>
        <v/>
      </c>
      <c r="D804" s="93" t="n"/>
      <c r="E804" s="93" t="n"/>
      <c r="F804" s="93" t="n"/>
      <c r="G804" s="93" t="n"/>
      <c r="H804" s="93" t="n"/>
      <c r="I804" s="105">
        <f>IF($A804="","",SUM(D804:H804))</f>
        <v/>
      </c>
    </row>
    <row r="805" ht="15" customHeight="1" s="71">
      <c r="A805" s="87" t="n"/>
      <c r="B805" s="91" t="n"/>
      <c r="C805" s="89">
        <f>IF(OR($A805="",$B805=""),"",IFERROR(VLOOKUP($B805,Employés!$A:$B,2,0),""))</f>
        <v/>
      </c>
      <c r="D805" s="93" t="n"/>
      <c r="E805" s="93" t="n"/>
      <c r="F805" s="93" t="n"/>
      <c r="G805" s="93" t="n"/>
      <c r="H805" s="93" t="n"/>
      <c r="I805" s="105">
        <f>IF($A805="","",SUM(D805:H805))</f>
        <v/>
      </c>
    </row>
    <row r="806" ht="15" customHeight="1" s="71">
      <c r="A806" s="87" t="n"/>
      <c r="B806" s="91" t="n"/>
      <c r="C806" s="89">
        <f>IF(OR($A806="",$B806=""),"",IFERROR(VLOOKUP($B806,Employés!$A:$B,2,0),""))</f>
        <v/>
      </c>
      <c r="D806" s="93" t="n"/>
      <c r="E806" s="93" t="n"/>
      <c r="F806" s="93" t="n"/>
      <c r="G806" s="93" t="n"/>
      <c r="H806" s="93" t="n"/>
      <c r="I806" s="105">
        <f>IF($A806="","",SUM(D806:H806))</f>
        <v/>
      </c>
    </row>
    <row r="807" ht="15" customHeight="1" s="71">
      <c r="A807" s="87" t="n"/>
      <c r="B807" s="91" t="n"/>
      <c r="C807" s="89">
        <f>IF(OR($A807="",$B807=""),"",IFERROR(VLOOKUP($B807,Employés!$A:$B,2,0),""))</f>
        <v/>
      </c>
      <c r="D807" s="93" t="n"/>
      <c r="E807" s="93" t="n"/>
      <c r="F807" s="93" t="n"/>
      <c r="G807" s="93" t="n"/>
      <c r="H807" s="93" t="n"/>
      <c r="I807" s="105">
        <f>IF($A807="","",SUM(D807:H807))</f>
        <v/>
      </c>
    </row>
    <row r="808" ht="15" customHeight="1" s="71">
      <c r="A808" s="87" t="n"/>
      <c r="B808" s="91" t="n"/>
      <c r="C808" s="89">
        <f>IF(OR($A808="",$B808=""),"",IFERROR(VLOOKUP($B808,Employés!$A:$B,2,0),""))</f>
        <v/>
      </c>
      <c r="D808" s="93" t="n"/>
      <c r="E808" s="93" t="n"/>
      <c r="F808" s="93" t="n"/>
      <c r="G808" s="93" t="n"/>
      <c r="H808" s="93" t="n"/>
      <c r="I808" s="105">
        <f>IF($A808="","",SUM(D808:H808))</f>
        <v/>
      </c>
    </row>
    <row r="809" ht="15" customHeight="1" s="71">
      <c r="A809" s="87" t="n"/>
      <c r="B809" s="91" t="n"/>
      <c r="C809" s="89">
        <f>IF(OR($A809="",$B809=""),"",IFERROR(VLOOKUP($B809,Employés!$A:$B,2,0),""))</f>
        <v/>
      </c>
      <c r="D809" s="93" t="n"/>
      <c r="E809" s="93" t="n"/>
      <c r="F809" s="93" t="n"/>
      <c r="G809" s="93" t="n"/>
      <c r="H809" s="93" t="n"/>
      <c r="I809" s="105">
        <f>IF($A809="","",SUM(D809:H809))</f>
        <v/>
      </c>
    </row>
    <row r="810" ht="15" customHeight="1" s="71">
      <c r="A810" s="87" t="n"/>
      <c r="B810" s="91" t="n"/>
      <c r="C810" s="89">
        <f>IF(OR($A810="",$B810=""),"",IFERROR(VLOOKUP($B810,Employés!$A:$B,2,0),""))</f>
        <v/>
      </c>
      <c r="D810" s="93" t="n"/>
      <c r="E810" s="93" t="n"/>
      <c r="F810" s="93" t="n"/>
      <c r="G810" s="93" t="n"/>
      <c r="H810" s="93" t="n"/>
      <c r="I810" s="105">
        <f>IF($A810="","",SUM(D810:H810))</f>
        <v/>
      </c>
    </row>
    <row r="811" ht="15" customHeight="1" s="71">
      <c r="A811" s="87" t="n"/>
      <c r="B811" s="91" t="n"/>
      <c r="C811" s="89">
        <f>IF(OR($A811="",$B811=""),"",IFERROR(VLOOKUP($B811,Employés!$A:$B,2,0),""))</f>
        <v/>
      </c>
      <c r="D811" s="93" t="n"/>
      <c r="E811" s="93" t="n"/>
      <c r="F811" s="93" t="n"/>
      <c r="G811" s="93" t="n"/>
      <c r="H811" s="93" t="n"/>
      <c r="I811" s="105">
        <f>IF($A811="","",SUM(D811:H811))</f>
        <v/>
      </c>
    </row>
    <row r="812" ht="15" customHeight="1" s="71">
      <c r="A812" s="87" t="n"/>
      <c r="B812" s="91" t="n"/>
      <c r="C812" s="89">
        <f>IF(OR($A812="",$B812=""),"",IFERROR(VLOOKUP($B812,Employés!$A:$B,2,0),""))</f>
        <v/>
      </c>
      <c r="D812" s="93" t="n"/>
      <c r="E812" s="93" t="n"/>
      <c r="F812" s="93" t="n"/>
      <c r="G812" s="93" t="n"/>
      <c r="H812" s="93" t="n"/>
      <c r="I812" s="105">
        <f>IF($A812="","",SUM(D812:H812))</f>
        <v/>
      </c>
    </row>
    <row r="813" ht="15" customHeight="1" s="71">
      <c r="A813" s="87" t="n"/>
      <c r="B813" s="91" t="n"/>
      <c r="C813" s="89">
        <f>IF(OR($A813="",$B813=""),"",IFERROR(VLOOKUP($B813,Employés!$A:$B,2,0),""))</f>
        <v/>
      </c>
      <c r="D813" s="93" t="n"/>
      <c r="E813" s="93" t="n"/>
      <c r="F813" s="93" t="n"/>
      <c r="G813" s="93" t="n"/>
      <c r="H813" s="93" t="n"/>
      <c r="I813" s="105">
        <f>IF($A813="","",SUM(D813:H813))</f>
        <v/>
      </c>
    </row>
    <row r="814" ht="15" customHeight="1" s="71">
      <c r="A814" s="87" t="n"/>
      <c r="B814" s="91" t="n"/>
      <c r="C814" s="89">
        <f>IF(OR($A814="",$B814=""),"",IFERROR(VLOOKUP($B814,Employés!$A:$B,2,0),""))</f>
        <v/>
      </c>
      <c r="D814" s="93" t="n"/>
      <c r="E814" s="93" t="n"/>
      <c r="F814" s="93" t="n"/>
      <c r="G814" s="93" t="n"/>
      <c r="H814" s="93" t="n"/>
      <c r="I814" s="105">
        <f>IF($A814="","",SUM(D814:H814))</f>
        <v/>
      </c>
    </row>
    <row r="815" ht="15" customHeight="1" s="71">
      <c r="A815" s="87" t="n"/>
      <c r="B815" s="91" t="n"/>
      <c r="C815" s="89">
        <f>IF(OR($A815="",$B815=""),"",IFERROR(VLOOKUP($B815,Employés!$A:$B,2,0),""))</f>
        <v/>
      </c>
      <c r="D815" s="93" t="n"/>
      <c r="E815" s="93" t="n"/>
      <c r="F815" s="93" t="n"/>
      <c r="G815" s="93" t="n"/>
      <c r="H815" s="93" t="n"/>
      <c r="I815" s="105">
        <f>IF($A815="","",SUM(D815:H815))</f>
        <v/>
      </c>
    </row>
    <row r="816" ht="15" customHeight="1" s="71">
      <c r="A816" s="87" t="n"/>
      <c r="B816" s="91" t="n"/>
      <c r="C816" s="89">
        <f>IF(OR($A816="",$B816=""),"",IFERROR(VLOOKUP($B816,Employés!$A:$B,2,0),""))</f>
        <v/>
      </c>
      <c r="D816" s="93" t="n"/>
      <c r="E816" s="93" t="n"/>
      <c r="F816" s="93" t="n"/>
      <c r="G816" s="93" t="n"/>
      <c r="H816" s="93" t="n"/>
      <c r="I816" s="105">
        <f>IF($A816="","",SUM(D816:H816))</f>
        <v/>
      </c>
    </row>
    <row r="817" ht="15" customHeight="1" s="71">
      <c r="A817" s="87" t="n"/>
      <c r="B817" s="91" t="n"/>
      <c r="C817" s="89">
        <f>IF(OR($A817="",$B817=""),"",IFERROR(VLOOKUP($B817,Employés!$A:$B,2,0),""))</f>
        <v/>
      </c>
      <c r="D817" s="93" t="n"/>
      <c r="E817" s="93" t="n"/>
      <c r="F817" s="93" t="n"/>
      <c r="G817" s="93" t="n"/>
      <c r="H817" s="93" t="n"/>
      <c r="I817" s="105">
        <f>IF($A817="","",SUM(D817:H817))</f>
        <v/>
      </c>
    </row>
    <row r="818" ht="15" customHeight="1" s="71">
      <c r="A818" s="87" t="n"/>
      <c r="B818" s="91" t="n"/>
      <c r="C818" s="89">
        <f>IF(OR($A818="",$B818=""),"",IFERROR(VLOOKUP($B818,Employés!$A:$B,2,0),""))</f>
        <v/>
      </c>
      <c r="D818" s="93" t="n"/>
      <c r="E818" s="93" t="n"/>
      <c r="F818" s="93" t="n"/>
      <c r="G818" s="93" t="n"/>
      <c r="H818" s="93" t="n"/>
      <c r="I818" s="105">
        <f>IF($A818="","",SUM(D818:H818))</f>
        <v/>
      </c>
    </row>
    <row r="819" ht="15" customHeight="1" s="71">
      <c r="A819" s="87" t="n"/>
      <c r="B819" s="91" t="n"/>
      <c r="C819" s="89">
        <f>IF(OR($A819="",$B819=""),"",IFERROR(VLOOKUP($B819,Employés!$A:$B,2,0),""))</f>
        <v/>
      </c>
      <c r="D819" s="93" t="n"/>
      <c r="E819" s="93" t="n"/>
      <c r="F819" s="93" t="n"/>
      <c r="G819" s="93" t="n"/>
      <c r="H819" s="93" t="n"/>
      <c r="I819" s="105">
        <f>IF($A819="","",SUM(D819:H819))</f>
        <v/>
      </c>
    </row>
    <row r="820" ht="15" customHeight="1" s="71">
      <c r="A820" s="87" t="n"/>
      <c r="B820" s="91" t="n"/>
      <c r="C820" s="89">
        <f>IF(OR($A820="",$B820=""),"",IFERROR(VLOOKUP($B820,Employés!$A:$B,2,0),""))</f>
        <v/>
      </c>
      <c r="D820" s="93" t="n"/>
      <c r="E820" s="93" t="n"/>
      <c r="F820" s="93" t="n"/>
      <c r="G820" s="93" t="n"/>
      <c r="H820" s="93" t="n"/>
      <c r="I820" s="105">
        <f>IF($A820="","",SUM(D820:H820))</f>
        <v/>
      </c>
    </row>
    <row r="821" ht="15" customHeight="1" s="71">
      <c r="A821" s="87" t="n"/>
      <c r="B821" s="91" t="n"/>
      <c r="C821" s="89">
        <f>IF(OR($A821="",$B821=""),"",IFERROR(VLOOKUP($B821,Employés!$A:$B,2,0),""))</f>
        <v/>
      </c>
      <c r="D821" s="93" t="n"/>
      <c r="E821" s="93" t="n"/>
      <c r="F821" s="93" t="n"/>
      <c r="G821" s="93" t="n"/>
      <c r="H821" s="93" t="n"/>
      <c r="I821" s="105">
        <f>IF($A821="","",SUM(D821:H821))</f>
        <v/>
      </c>
    </row>
    <row r="822" ht="15" customHeight="1" s="71">
      <c r="A822" s="87" t="n"/>
      <c r="B822" s="91" t="n"/>
      <c r="C822" s="89">
        <f>IF(OR($A822="",$B822=""),"",IFERROR(VLOOKUP($B822,Employés!$A:$B,2,0),""))</f>
        <v/>
      </c>
      <c r="D822" s="93" t="n"/>
      <c r="E822" s="93" t="n"/>
      <c r="F822" s="93" t="n"/>
      <c r="G822" s="93" t="n"/>
      <c r="H822" s="93" t="n"/>
      <c r="I822" s="105">
        <f>IF($A822="","",SUM(D822:H822))</f>
        <v/>
      </c>
    </row>
    <row r="823" ht="15" customHeight="1" s="71">
      <c r="A823" s="87" t="n"/>
      <c r="B823" s="91" t="n"/>
      <c r="C823" s="89">
        <f>IF(OR($A823="",$B823=""),"",IFERROR(VLOOKUP($B823,Employés!$A:$B,2,0),""))</f>
        <v/>
      </c>
      <c r="D823" s="93" t="n"/>
      <c r="E823" s="93" t="n"/>
      <c r="F823" s="93" t="n"/>
      <c r="G823" s="93" t="n"/>
      <c r="H823" s="93" t="n"/>
      <c r="I823" s="105">
        <f>IF($A823="","",SUM(D823:H823))</f>
        <v/>
      </c>
    </row>
    <row r="824" ht="15" customHeight="1" s="71">
      <c r="A824" s="87" t="n"/>
      <c r="B824" s="91" t="n"/>
      <c r="C824" s="89">
        <f>IF(OR($A824="",$B824=""),"",IFERROR(VLOOKUP($B824,Employés!$A:$B,2,0),""))</f>
        <v/>
      </c>
      <c r="D824" s="93" t="n"/>
      <c r="E824" s="93" t="n"/>
      <c r="F824" s="93" t="n"/>
      <c r="G824" s="93" t="n"/>
      <c r="H824" s="93" t="n"/>
      <c r="I824" s="105">
        <f>IF($A824="","",SUM(D824:H824))</f>
        <v/>
      </c>
    </row>
    <row r="825" ht="15" customHeight="1" s="71">
      <c r="A825" s="87" t="n"/>
      <c r="B825" s="91" t="n"/>
      <c r="C825" s="89">
        <f>IF(OR($A825="",$B825=""),"",IFERROR(VLOOKUP($B825,Employés!$A:$B,2,0),""))</f>
        <v/>
      </c>
      <c r="D825" s="93" t="n"/>
      <c r="E825" s="93" t="n"/>
      <c r="F825" s="93" t="n"/>
      <c r="G825" s="93" t="n"/>
      <c r="H825" s="93" t="n"/>
      <c r="I825" s="105">
        <f>IF($A825="","",SUM(D825:H825))</f>
        <v/>
      </c>
    </row>
    <row r="826" ht="15" customHeight="1" s="71">
      <c r="A826" s="87" t="n"/>
      <c r="B826" s="91" t="n"/>
      <c r="C826" s="89">
        <f>IF(OR($A826="",$B826=""),"",IFERROR(VLOOKUP($B826,Employés!$A:$B,2,0),""))</f>
        <v/>
      </c>
      <c r="D826" s="93" t="n"/>
      <c r="E826" s="93" t="n"/>
      <c r="F826" s="93" t="n"/>
      <c r="G826" s="93" t="n"/>
      <c r="H826" s="93" t="n"/>
      <c r="I826" s="105">
        <f>IF($A826="","",SUM(D826:H826))</f>
        <v/>
      </c>
    </row>
    <row r="827" ht="15" customHeight="1" s="71">
      <c r="A827" s="87" t="n"/>
      <c r="B827" s="91" t="n"/>
      <c r="C827" s="89">
        <f>IF(OR($A827="",$B827=""),"",IFERROR(VLOOKUP($B827,Employés!$A:$B,2,0),""))</f>
        <v/>
      </c>
      <c r="D827" s="93" t="n"/>
      <c r="E827" s="93" t="n"/>
      <c r="F827" s="93" t="n"/>
      <c r="G827" s="93" t="n"/>
      <c r="H827" s="93" t="n"/>
      <c r="I827" s="105">
        <f>IF($A827="","",SUM(D827:H827))</f>
        <v/>
      </c>
    </row>
    <row r="828" ht="15" customHeight="1" s="71">
      <c r="A828" s="87" t="n"/>
      <c r="B828" s="91" t="n"/>
      <c r="C828" s="89">
        <f>IF(OR($A828="",$B828=""),"",IFERROR(VLOOKUP($B828,Employés!$A:$B,2,0),""))</f>
        <v/>
      </c>
      <c r="D828" s="93" t="n"/>
      <c r="E828" s="93" t="n"/>
      <c r="F828" s="93" t="n"/>
      <c r="G828" s="93" t="n"/>
      <c r="H828" s="93" t="n"/>
      <c r="I828" s="105">
        <f>IF($A828="","",SUM(D828:H828))</f>
        <v/>
      </c>
    </row>
    <row r="829" ht="15" customHeight="1" s="71">
      <c r="A829" s="87" t="n"/>
      <c r="B829" s="91" t="n"/>
      <c r="C829" s="89">
        <f>IF(OR($A829="",$B829=""),"",IFERROR(VLOOKUP($B829,Employés!$A:$B,2,0),""))</f>
        <v/>
      </c>
      <c r="D829" s="93" t="n"/>
      <c r="E829" s="93" t="n"/>
      <c r="F829" s="93" t="n"/>
      <c r="G829" s="93" t="n"/>
      <c r="H829" s="93" t="n"/>
      <c r="I829" s="105">
        <f>IF($A829="","",SUM(D829:H829))</f>
        <v/>
      </c>
    </row>
    <row r="830" ht="15" customHeight="1" s="71">
      <c r="A830" s="87" t="n"/>
      <c r="B830" s="91" t="n"/>
      <c r="C830" s="89">
        <f>IF(OR($A830="",$B830=""),"",IFERROR(VLOOKUP($B830,Employés!$A:$B,2,0),""))</f>
        <v/>
      </c>
      <c r="D830" s="93" t="n"/>
      <c r="E830" s="93" t="n"/>
      <c r="F830" s="93" t="n"/>
      <c r="G830" s="93" t="n"/>
      <c r="H830" s="93" t="n"/>
      <c r="I830" s="105">
        <f>IF($A830="","",SUM(D830:H830))</f>
        <v/>
      </c>
    </row>
    <row r="831" ht="15" customHeight="1" s="71">
      <c r="A831" s="87" t="n"/>
      <c r="B831" s="91" t="n"/>
      <c r="C831" s="89">
        <f>IF(OR($A831="",$B831=""),"",IFERROR(VLOOKUP($B831,Employés!$A:$B,2,0),""))</f>
        <v/>
      </c>
      <c r="D831" s="93" t="n"/>
      <c r="E831" s="93" t="n"/>
      <c r="F831" s="93" t="n"/>
      <c r="G831" s="93" t="n"/>
      <c r="H831" s="93" t="n"/>
      <c r="I831" s="105">
        <f>IF($A831="","",SUM(D831:H831))</f>
        <v/>
      </c>
    </row>
    <row r="832" ht="15" customHeight="1" s="71">
      <c r="A832" s="87" t="n"/>
      <c r="B832" s="91" t="n"/>
      <c r="C832" s="89">
        <f>IF(OR($A832="",$B832=""),"",IFERROR(VLOOKUP($B832,Employés!$A:$B,2,0),""))</f>
        <v/>
      </c>
      <c r="D832" s="93" t="n"/>
      <c r="E832" s="93" t="n"/>
      <c r="F832" s="93" t="n"/>
      <c r="G832" s="93" t="n"/>
      <c r="H832" s="93" t="n"/>
      <c r="I832" s="105">
        <f>IF($A832="","",SUM(D832:H832))</f>
        <v/>
      </c>
    </row>
    <row r="833" ht="15" customHeight="1" s="71">
      <c r="A833" s="87" t="n"/>
      <c r="B833" s="91" t="n"/>
      <c r="C833" s="89">
        <f>IF(OR($A833="",$B833=""),"",IFERROR(VLOOKUP($B833,Employés!$A:$B,2,0),""))</f>
        <v/>
      </c>
      <c r="D833" s="93" t="n"/>
      <c r="E833" s="93" t="n"/>
      <c r="F833" s="93" t="n"/>
      <c r="G833" s="93" t="n"/>
      <c r="H833" s="93" t="n"/>
      <c r="I833" s="105">
        <f>IF($A833="","",SUM(D833:H833))</f>
        <v/>
      </c>
    </row>
    <row r="834" ht="15" customHeight="1" s="71">
      <c r="A834" s="87" t="n"/>
      <c r="B834" s="91" t="n"/>
      <c r="C834" s="89">
        <f>IF(OR($A834="",$B834=""),"",IFERROR(VLOOKUP($B834,Employés!$A:$B,2,0),""))</f>
        <v/>
      </c>
      <c r="D834" s="93" t="n"/>
      <c r="E834" s="93" t="n"/>
      <c r="F834" s="93" t="n"/>
      <c r="G834" s="93" t="n"/>
      <c r="H834" s="93" t="n"/>
      <c r="I834" s="105">
        <f>IF($A834="","",SUM(D834:H834))</f>
        <v/>
      </c>
    </row>
    <row r="835" ht="15" customHeight="1" s="71">
      <c r="A835" s="87" t="n"/>
      <c r="B835" s="91" t="n"/>
      <c r="C835" s="89">
        <f>IF(OR($A835="",$B835=""),"",IFERROR(VLOOKUP($B835,Employés!$A:$B,2,0),""))</f>
        <v/>
      </c>
      <c r="D835" s="93" t="n"/>
      <c r="E835" s="93" t="n"/>
      <c r="F835" s="93" t="n"/>
      <c r="G835" s="93" t="n"/>
      <c r="H835" s="93" t="n"/>
      <c r="I835" s="105">
        <f>IF($A835="","",SUM(D835:H835))</f>
        <v/>
      </c>
    </row>
    <row r="836" ht="15" customHeight="1" s="71">
      <c r="A836" s="87" t="n"/>
      <c r="B836" s="91" t="n"/>
      <c r="C836" s="89">
        <f>IF(OR($A836="",$B836=""),"",IFERROR(VLOOKUP($B836,Employés!$A:$B,2,0),""))</f>
        <v/>
      </c>
      <c r="D836" s="93" t="n"/>
      <c r="E836" s="93" t="n"/>
      <c r="F836" s="93" t="n"/>
      <c r="G836" s="93" t="n"/>
      <c r="H836" s="93" t="n"/>
      <c r="I836" s="105">
        <f>IF($A836="","",SUM(D836:H836))</f>
        <v/>
      </c>
    </row>
    <row r="837" ht="15" customHeight="1" s="71">
      <c r="A837" s="87" t="n"/>
      <c r="B837" s="91" t="n"/>
      <c r="C837" s="89">
        <f>IF(OR($A837="",$B837=""),"",IFERROR(VLOOKUP($B837,Employés!$A:$B,2,0),""))</f>
        <v/>
      </c>
      <c r="D837" s="93" t="n"/>
      <c r="E837" s="93" t="n"/>
      <c r="F837" s="93" t="n"/>
      <c r="G837" s="93" t="n"/>
      <c r="H837" s="93" t="n"/>
      <c r="I837" s="105">
        <f>IF($A837="","",SUM(D837:H837))</f>
        <v/>
      </c>
    </row>
    <row r="838" ht="15" customHeight="1" s="71">
      <c r="A838" s="87" t="n"/>
      <c r="B838" s="91" t="n"/>
      <c r="C838" s="89">
        <f>IF(OR($A838="",$B838=""),"",IFERROR(VLOOKUP($B838,Employés!$A:$B,2,0),""))</f>
        <v/>
      </c>
      <c r="D838" s="93" t="n"/>
      <c r="E838" s="93" t="n"/>
      <c r="F838" s="93" t="n"/>
      <c r="G838" s="93" t="n"/>
      <c r="H838" s="93" t="n"/>
      <c r="I838" s="105">
        <f>IF($A838="","",SUM(D838:H838))</f>
        <v/>
      </c>
    </row>
    <row r="839" ht="15" customHeight="1" s="71">
      <c r="A839" s="87" t="n"/>
      <c r="B839" s="91" t="n"/>
      <c r="C839" s="89">
        <f>IF(OR($A839="",$B839=""),"",IFERROR(VLOOKUP($B839,Employés!$A:$B,2,0),""))</f>
        <v/>
      </c>
      <c r="D839" s="93" t="n"/>
      <c r="E839" s="93" t="n"/>
      <c r="F839" s="93" t="n"/>
      <c r="G839" s="93" t="n"/>
      <c r="H839" s="93" t="n"/>
      <c r="I839" s="105">
        <f>IF($A839="","",SUM(D839:H839))</f>
        <v/>
      </c>
    </row>
    <row r="840" ht="15" customHeight="1" s="71">
      <c r="A840" s="87" t="n"/>
      <c r="B840" s="91" t="n"/>
      <c r="C840" s="89">
        <f>IF(OR($A840="",$B840=""),"",IFERROR(VLOOKUP($B840,Employés!$A:$B,2,0),""))</f>
        <v/>
      </c>
      <c r="D840" s="93" t="n"/>
      <c r="E840" s="93" t="n"/>
      <c r="F840" s="93" t="n"/>
      <c r="G840" s="93" t="n"/>
      <c r="H840" s="93" t="n"/>
      <c r="I840" s="105">
        <f>IF($A840="","",SUM(D840:H840))</f>
        <v/>
      </c>
    </row>
    <row r="841" ht="15" customHeight="1" s="71">
      <c r="A841" s="87" t="n"/>
      <c r="B841" s="91" t="n"/>
      <c r="C841" s="89">
        <f>IF(OR($A841="",$B841=""),"",IFERROR(VLOOKUP($B841,Employés!$A:$B,2,0),""))</f>
        <v/>
      </c>
      <c r="D841" s="93" t="n"/>
      <c r="E841" s="93" t="n"/>
      <c r="F841" s="93" t="n"/>
      <c r="G841" s="93" t="n"/>
      <c r="H841" s="93" t="n"/>
      <c r="I841" s="105">
        <f>IF($A841="","",SUM(D841:H841))</f>
        <v/>
      </c>
    </row>
    <row r="842" ht="15" customHeight="1" s="71">
      <c r="A842" s="87" t="n"/>
      <c r="B842" s="91" t="n"/>
      <c r="C842" s="89">
        <f>IF(OR($A842="",$B842=""),"",IFERROR(VLOOKUP($B842,Employés!$A:$B,2,0),""))</f>
        <v/>
      </c>
      <c r="D842" s="93" t="n"/>
      <c r="E842" s="93" t="n"/>
      <c r="F842" s="93" t="n"/>
      <c r="G842" s="93" t="n"/>
      <c r="H842" s="93" t="n"/>
      <c r="I842" s="105">
        <f>IF($A842="","",SUM(D842:H842))</f>
        <v/>
      </c>
    </row>
    <row r="843" ht="15" customHeight="1" s="71">
      <c r="A843" s="87" t="n"/>
      <c r="B843" s="91" t="n"/>
      <c r="C843" s="89">
        <f>IF(OR($A843="",$B843=""),"",IFERROR(VLOOKUP($B843,Employés!$A:$B,2,0),""))</f>
        <v/>
      </c>
      <c r="D843" s="93" t="n"/>
      <c r="E843" s="93" t="n"/>
      <c r="F843" s="93" t="n"/>
      <c r="G843" s="93" t="n"/>
      <c r="H843" s="93" t="n"/>
      <c r="I843" s="105">
        <f>IF($A843="","",SUM(D843:H843))</f>
        <v/>
      </c>
    </row>
    <row r="844" ht="15" customHeight="1" s="71">
      <c r="A844" s="87" t="n"/>
      <c r="B844" s="91" t="n"/>
      <c r="C844" s="89">
        <f>IF(OR($A844="",$B844=""),"",IFERROR(VLOOKUP($B844,Employés!$A:$B,2,0),""))</f>
        <v/>
      </c>
      <c r="D844" s="93" t="n"/>
      <c r="E844" s="93" t="n"/>
      <c r="F844" s="93" t="n"/>
      <c r="G844" s="93" t="n"/>
      <c r="H844" s="93" t="n"/>
      <c r="I844" s="105">
        <f>IF($A844="","",SUM(D844:H844))</f>
        <v/>
      </c>
    </row>
    <row r="845" ht="15" customHeight="1" s="71">
      <c r="A845" s="87" t="n"/>
      <c r="B845" s="91" t="n"/>
      <c r="C845" s="89">
        <f>IF(OR($A845="",$B845=""),"",IFERROR(VLOOKUP($B845,Employés!$A:$B,2,0),""))</f>
        <v/>
      </c>
      <c r="D845" s="93" t="n"/>
      <c r="E845" s="93" t="n"/>
      <c r="F845" s="93" t="n"/>
      <c r="G845" s="93" t="n"/>
      <c r="H845" s="93" t="n"/>
      <c r="I845" s="105">
        <f>IF($A845="","",SUM(D845:H845))</f>
        <v/>
      </c>
    </row>
    <row r="846" ht="15" customHeight="1" s="71">
      <c r="A846" s="87" t="n"/>
      <c r="B846" s="91" t="n"/>
      <c r="C846" s="89">
        <f>IF(OR($A846="",$B846=""),"",IFERROR(VLOOKUP($B846,Employés!$A:$B,2,0),""))</f>
        <v/>
      </c>
      <c r="D846" s="93" t="n"/>
      <c r="E846" s="93" t="n"/>
      <c r="F846" s="93" t="n"/>
      <c r="G846" s="93" t="n"/>
      <c r="H846" s="93" t="n"/>
      <c r="I846" s="105">
        <f>IF($A846="","",SUM(D846:H846))</f>
        <v/>
      </c>
    </row>
    <row r="847" ht="15" customHeight="1" s="71">
      <c r="A847" s="87" t="n"/>
      <c r="B847" s="91" t="n"/>
      <c r="C847" s="89">
        <f>IF(OR($A847="",$B847=""),"",IFERROR(VLOOKUP($B847,Employés!$A:$B,2,0),""))</f>
        <v/>
      </c>
      <c r="D847" s="93" t="n"/>
      <c r="E847" s="93" t="n"/>
      <c r="F847" s="93" t="n"/>
      <c r="G847" s="93" t="n"/>
      <c r="H847" s="93" t="n"/>
      <c r="I847" s="105">
        <f>IF($A847="","",SUM(D847:H847))</f>
        <v/>
      </c>
    </row>
    <row r="848" ht="15" customHeight="1" s="71">
      <c r="A848" s="87" t="n"/>
      <c r="B848" s="91" t="n"/>
      <c r="C848" s="89">
        <f>IF(OR($A848="",$B848=""),"",IFERROR(VLOOKUP($B848,Employés!$A:$B,2,0),""))</f>
        <v/>
      </c>
      <c r="D848" s="93" t="n"/>
      <c r="E848" s="93" t="n"/>
      <c r="F848" s="93" t="n"/>
      <c r="G848" s="93" t="n"/>
      <c r="H848" s="93" t="n"/>
      <c r="I848" s="105">
        <f>IF($A848="","",SUM(D848:H848))</f>
        <v/>
      </c>
    </row>
    <row r="849" ht="15" customHeight="1" s="71">
      <c r="A849" s="87" t="n"/>
      <c r="B849" s="91" t="n"/>
      <c r="C849" s="89">
        <f>IF(OR($A849="",$B849=""),"",IFERROR(VLOOKUP($B849,Employés!$A:$B,2,0),""))</f>
        <v/>
      </c>
      <c r="D849" s="93" t="n"/>
      <c r="E849" s="93" t="n"/>
      <c r="F849" s="93" t="n"/>
      <c r="G849" s="93" t="n"/>
      <c r="H849" s="93" t="n"/>
      <c r="I849" s="105">
        <f>IF($A849="","",SUM(D849:H849))</f>
        <v/>
      </c>
    </row>
    <row r="850" ht="15" customHeight="1" s="71">
      <c r="A850" s="87" t="n"/>
      <c r="B850" s="91" t="n"/>
      <c r="C850" s="89">
        <f>IF(OR($A850="",$B850=""),"",IFERROR(VLOOKUP($B850,Employés!$A:$B,2,0),""))</f>
        <v/>
      </c>
      <c r="D850" s="93" t="n"/>
      <c r="E850" s="93" t="n"/>
      <c r="F850" s="93" t="n"/>
      <c r="G850" s="93" t="n"/>
      <c r="H850" s="93" t="n"/>
      <c r="I850" s="105">
        <f>IF($A850="","",SUM(D850:H850))</f>
        <v/>
      </c>
    </row>
    <row r="851" ht="15" customHeight="1" s="71">
      <c r="A851" s="87" t="n"/>
      <c r="B851" s="91" t="n"/>
      <c r="C851" s="89">
        <f>IF(OR($A851="",$B851=""),"",IFERROR(VLOOKUP($B851,Employés!$A:$B,2,0),""))</f>
        <v/>
      </c>
      <c r="D851" s="93" t="n"/>
      <c r="E851" s="93" t="n"/>
      <c r="F851" s="93" t="n"/>
      <c r="G851" s="93" t="n"/>
      <c r="H851" s="93" t="n"/>
      <c r="I851" s="105">
        <f>IF($A851="","",SUM(D851:H851))</f>
        <v/>
      </c>
    </row>
    <row r="852" ht="15" customHeight="1" s="71">
      <c r="A852" s="87" t="n"/>
      <c r="B852" s="91" t="n"/>
      <c r="C852" s="89">
        <f>IF(OR($A852="",$B852=""),"",IFERROR(VLOOKUP($B852,Employés!$A:$B,2,0),""))</f>
        <v/>
      </c>
      <c r="D852" s="93" t="n"/>
      <c r="E852" s="93" t="n"/>
      <c r="F852" s="93" t="n"/>
      <c r="G852" s="93" t="n"/>
      <c r="H852" s="93" t="n"/>
      <c r="I852" s="105">
        <f>IF($A852="","",SUM(D852:H852))</f>
        <v/>
      </c>
    </row>
    <row r="853" ht="15" customHeight="1" s="71">
      <c r="A853" s="87" t="n"/>
      <c r="B853" s="91" t="n"/>
      <c r="C853" s="89">
        <f>IF(OR($A853="",$B853=""),"",IFERROR(VLOOKUP($B853,Employés!$A:$B,2,0),""))</f>
        <v/>
      </c>
      <c r="D853" s="93" t="n"/>
      <c r="E853" s="93" t="n"/>
      <c r="F853" s="93" t="n"/>
      <c r="G853" s="93" t="n"/>
      <c r="H853" s="93" t="n"/>
      <c r="I853" s="105">
        <f>IF($A853="","",SUM(D853:H853))</f>
        <v/>
      </c>
    </row>
    <row r="854" ht="15" customHeight="1" s="71">
      <c r="A854" s="87" t="n"/>
      <c r="B854" s="91" t="n"/>
      <c r="C854" s="89">
        <f>IF(OR($A854="",$B854=""),"",IFERROR(VLOOKUP($B854,Employés!$A:$B,2,0),""))</f>
        <v/>
      </c>
      <c r="D854" s="93" t="n"/>
      <c r="E854" s="93" t="n"/>
      <c r="F854" s="93" t="n"/>
      <c r="G854" s="93" t="n"/>
      <c r="H854" s="93" t="n"/>
      <c r="I854" s="105">
        <f>IF($A854="","",SUM(D854:H854))</f>
        <v/>
      </c>
    </row>
    <row r="855" ht="15" customHeight="1" s="71">
      <c r="A855" s="87" t="n"/>
      <c r="B855" s="91" t="n"/>
      <c r="C855" s="89">
        <f>IF(OR($A855="",$B855=""),"",IFERROR(VLOOKUP($B855,Employés!$A:$B,2,0),""))</f>
        <v/>
      </c>
      <c r="D855" s="93" t="n"/>
      <c r="E855" s="93" t="n"/>
      <c r="F855" s="93" t="n"/>
      <c r="G855" s="93" t="n"/>
      <c r="H855" s="93" t="n"/>
      <c r="I855" s="105">
        <f>IF($A855="","",SUM(D855:H855))</f>
        <v/>
      </c>
    </row>
    <row r="856" ht="15" customHeight="1" s="71">
      <c r="A856" s="87" t="n"/>
      <c r="B856" s="91" t="n"/>
      <c r="C856" s="89">
        <f>IF(OR($A856="",$B856=""),"",IFERROR(VLOOKUP($B856,Employés!$A:$B,2,0),""))</f>
        <v/>
      </c>
      <c r="D856" s="93" t="n"/>
      <c r="E856" s="93" t="n"/>
      <c r="F856" s="93" t="n"/>
      <c r="G856" s="93" t="n"/>
      <c r="H856" s="93" t="n"/>
      <c r="I856" s="105">
        <f>IF($A856="","",SUM(D856:H856))</f>
        <v/>
      </c>
    </row>
    <row r="857" ht="15" customHeight="1" s="71">
      <c r="A857" s="87" t="n"/>
      <c r="B857" s="91" t="n"/>
      <c r="C857" s="89">
        <f>IF(OR($A857="",$B857=""),"",IFERROR(VLOOKUP($B857,Employés!$A:$B,2,0),""))</f>
        <v/>
      </c>
      <c r="D857" s="93" t="n"/>
      <c r="E857" s="93" t="n"/>
      <c r="F857" s="93" t="n"/>
      <c r="G857" s="93" t="n"/>
      <c r="H857" s="93" t="n"/>
      <c r="I857" s="105">
        <f>IF($A857="","",SUM(D857:H857))</f>
        <v/>
      </c>
    </row>
    <row r="858" ht="15" customHeight="1" s="71">
      <c r="A858" s="87" t="n"/>
      <c r="B858" s="91" t="n"/>
      <c r="C858" s="89">
        <f>IF(OR($A858="",$B858=""),"",IFERROR(VLOOKUP($B858,Employés!$A:$B,2,0),""))</f>
        <v/>
      </c>
      <c r="D858" s="93" t="n"/>
      <c r="E858" s="93" t="n"/>
      <c r="F858" s="93" t="n"/>
      <c r="G858" s="93" t="n"/>
      <c r="H858" s="93" t="n"/>
      <c r="I858" s="105">
        <f>IF($A858="","",SUM(D858:H858))</f>
        <v/>
      </c>
    </row>
    <row r="859" ht="15" customHeight="1" s="71">
      <c r="A859" s="87" t="n"/>
      <c r="B859" s="91" t="n"/>
      <c r="C859" s="89">
        <f>IF(OR($A859="",$B859=""),"",IFERROR(VLOOKUP($B859,Employés!$A:$B,2,0),""))</f>
        <v/>
      </c>
      <c r="D859" s="93" t="n"/>
      <c r="E859" s="93" t="n"/>
      <c r="F859" s="93" t="n"/>
      <c r="G859" s="93" t="n"/>
      <c r="H859" s="93" t="n"/>
      <c r="I859" s="105">
        <f>IF($A859="","",SUM(D859:H859))</f>
        <v/>
      </c>
    </row>
    <row r="860" ht="15" customHeight="1" s="71">
      <c r="A860" s="87" t="n"/>
      <c r="B860" s="91" t="n"/>
      <c r="C860" s="89">
        <f>IF(OR($A860="",$B860=""),"",IFERROR(VLOOKUP($B860,Employés!$A:$B,2,0),""))</f>
        <v/>
      </c>
      <c r="D860" s="93" t="n"/>
      <c r="E860" s="93" t="n"/>
      <c r="F860" s="93" t="n"/>
      <c r="G860" s="93" t="n"/>
      <c r="H860" s="93" t="n"/>
      <c r="I860" s="105">
        <f>IF($A860="","",SUM(D860:H860))</f>
        <v/>
      </c>
    </row>
    <row r="861" ht="15" customHeight="1" s="71">
      <c r="A861" s="87" t="n"/>
      <c r="B861" s="91" t="n"/>
      <c r="C861" s="89">
        <f>IF(OR($A861="",$B861=""),"",IFERROR(VLOOKUP($B861,Employés!$A:$B,2,0),""))</f>
        <v/>
      </c>
      <c r="D861" s="93" t="n"/>
      <c r="E861" s="93" t="n"/>
      <c r="F861" s="93" t="n"/>
      <c r="G861" s="93" t="n"/>
      <c r="H861" s="93" t="n"/>
      <c r="I861" s="105">
        <f>IF($A861="","",SUM(D861:H861))</f>
        <v/>
      </c>
    </row>
    <row r="862" ht="15" customHeight="1" s="71">
      <c r="A862" s="87" t="n"/>
      <c r="B862" s="91" t="n"/>
      <c r="C862" s="89">
        <f>IF(OR($A862="",$B862=""),"",IFERROR(VLOOKUP($B862,Employés!$A:$B,2,0),""))</f>
        <v/>
      </c>
      <c r="D862" s="93" t="n"/>
      <c r="E862" s="93" t="n"/>
      <c r="F862" s="93" t="n"/>
      <c r="G862" s="93" t="n"/>
      <c r="H862" s="93" t="n"/>
      <c r="I862" s="105">
        <f>IF($A862="","",SUM(D862:H862))</f>
        <v/>
      </c>
    </row>
    <row r="863" ht="15" customHeight="1" s="71">
      <c r="A863" s="87" t="n"/>
      <c r="B863" s="91" t="n"/>
      <c r="C863" s="89">
        <f>IF(OR($A863="",$B863=""),"",IFERROR(VLOOKUP($B863,Employés!$A:$B,2,0),""))</f>
        <v/>
      </c>
      <c r="D863" s="93" t="n"/>
      <c r="E863" s="93" t="n"/>
      <c r="F863" s="93" t="n"/>
      <c r="G863" s="93" t="n"/>
      <c r="H863" s="93" t="n"/>
      <c r="I863" s="105">
        <f>IF($A863="","",SUM(D863:H863))</f>
        <v/>
      </c>
    </row>
    <row r="864" ht="15" customHeight="1" s="71">
      <c r="A864" s="87" t="n"/>
      <c r="B864" s="91" t="n"/>
      <c r="C864" s="89">
        <f>IF(OR($A864="",$B864=""),"",IFERROR(VLOOKUP($B864,Employés!$A:$B,2,0),""))</f>
        <v/>
      </c>
      <c r="D864" s="93" t="n"/>
      <c r="E864" s="93" t="n"/>
      <c r="F864" s="93" t="n"/>
      <c r="G864" s="93" t="n"/>
      <c r="H864" s="93" t="n"/>
      <c r="I864" s="105">
        <f>IF($A864="","",SUM(D864:H864))</f>
        <v/>
      </c>
    </row>
    <row r="865" ht="15" customHeight="1" s="71">
      <c r="A865" s="87" t="n"/>
      <c r="B865" s="91" t="n"/>
      <c r="C865" s="89">
        <f>IF(OR($A865="",$B865=""),"",IFERROR(VLOOKUP($B865,Employés!$A:$B,2,0),""))</f>
        <v/>
      </c>
      <c r="D865" s="93" t="n"/>
      <c r="E865" s="93" t="n"/>
      <c r="F865" s="93" t="n"/>
      <c r="G865" s="93" t="n"/>
      <c r="H865" s="93" t="n"/>
      <c r="I865" s="105">
        <f>IF($A865="","",SUM(D865:H865))</f>
        <v/>
      </c>
    </row>
    <row r="866" ht="15" customHeight="1" s="71">
      <c r="A866" s="87" t="n"/>
      <c r="B866" s="91" t="n"/>
      <c r="C866" s="89">
        <f>IF(OR($A866="",$B866=""),"",IFERROR(VLOOKUP($B866,Employés!$A:$B,2,0),""))</f>
        <v/>
      </c>
      <c r="D866" s="93" t="n"/>
      <c r="E866" s="93" t="n"/>
      <c r="F866" s="93" t="n"/>
      <c r="G866" s="93" t="n"/>
      <c r="H866" s="93" t="n"/>
      <c r="I866" s="105">
        <f>IF($A866="","",SUM(D866:H866))</f>
        <v/>
      </c>
    </row>
    <row r="867" ht="15" customHeight="1" s="71">
      <c r="A867" s="87" t="n"/>
      <c r="B867" s="91" t="n"/>
      <c r="C867" s="89">
        <f>IF(OR($A867="",$B867=""),"",IFERROR(VLOOKUP($B867,Employés!$A:$B,2,0),""))</f>
        <v/>
      </c>
      <c r="D867" s="93" t="n"/>
      <c r="E867" s="93" t="n"/>
      <c r="F867" s="93" t="n"/>
      <c r="G867" s="93" t="n"/>
      <c r="H867" s="93" t="n"/>
      <c r="I867" s="105">
        <f>IF($A867="","",SUM(D867:H867))</f>
        <v/>
      </c>
    </row>
    <row r="868" ht="15" customHeight="1" s="71">
      <c r="A868" s="87" t="n"/>
      <c r="B868" s="91" t="n"/>
      <c r="C868" s="89">
        <f>IF(OR($A868="",$B868=""),"",IFERROR(VLOOKUP($B868,Employés!$A:$B,2,0),""))</f>
        <v/>
      </c>
      <c r="D868" s="93" t="n"/>
      <c r="E868" s="93" t="n"/>
      <c r="F868" s="93" t="n"/>
      <c r="G868" s="93" t="n"/>
      <c r="H868" s="93" t="n"/>
      <c r="I868" s="105">
        <f>IF($A868="","",SUM(D868:H868))</f>
        <v/>
      </c>
    </row>
    <row r="869" ht="15" customHeight="1" s="71">
      <c r="A869" s="87" t="n"/>
      <c r="B869" s="91" t="n"/>
      <c r="C869" s="89">
        <f>IF(OR($A869="",$B869=""),"",IFERROR(VLOOKUP($B869,Employés!$A:$B,2,0),""))</f>
        <v/>
      </c>
      <c r="D869" s="93" t="n"/>
      <c r="E869" s="93" t="n"/>
      <c r="F869" s="93" t="n"/>
      <c r="G869" s="93" t="n"/>
      <c r="H869" s="93" t="n"/>
      <c r="I869" s="105">
        <f>IF($A869="","",SUM(D869:H869))</f>
        <v/>
      </c>
    </row>
    <row r="870" ht="15" customHeight="1" s="71">
      <c r="A870" s="87" t="n"/>
      <c r="B870" s="91" t="n"/>
      <c r="C870" s="89">
        <f>IF(OR($A870="",$B870=""),"",IFERROR(VLOOKUP($B870,Employés!$A:$B,2,0),""))</f>
        <v/>
      </c>
      <c r="D870" s="93" t="n"/>
      <c r="E870" s="93" t="n"/>
      <c r="F870" s="93" t="n"/>
      <c r="G870" s="93" t="n"/>
      <c r="H870" s="93" t="n"/>
      <c r="I870" s="105">
        <f>IF($A870="","",SUM(D870:H870))</f>
        <v/>
      </c>
    </row>
    <row r="871" ht="15" customHeight="1" s="71">
      <c r="A871" s="87" t="n"/>
      <c r="B871" s="91" t="n"/>
      <c r="C871" s="89">
        <f>IF(OR($A871="",$B871=""),"",IFERROR(VLOOKUP($B871,Employés!$A:$B,2,0),""))</f>
        <v/>
      </c>
      <c r="D871" s="93" t="n"/>
      <c r="E871" s="93" t="n"/>
      <c r="F871" s="93" t="n"/>
      <c r="G871" s="93" t="n"/>
      <c r="H871" s="93" t="n"/>
      <c r="I871" s="105">
        <f>IF($A871="","",SUM(D871:H871))</f>
        <v/>
      </c>
    </row>
    <row r="872" ht="15" customHeight="1" s="71">
      <c r="A872" s="87" t="n"/>
      <c r="B872" s="91" t="n"/>
      <c r="C872" s="89">
        <f>IF(OR($A872="",$B872=""),"",IFERROR(VLOOKUP($B872,Employés!$A:$B,2,0),""))</f>
        <v/>
      </c>
      <c r="D872" s="93" t="n"/>
      <c r="E872" s="93" t="n"/>
      <c r="F872" s="93" t="n"/>
      <c r="G872" s="93" t="n"/>
      <c r="H872" s="93" t="n"/>
      <c r="I872" s="105">
        <f>IF($A872="","",SUM(D872:H872))</f>
        <v/>
      </c>
    </row>
    <row r="873" ht="15" customHeight="1" s="71">
      <c r="A873" s="87" t="n"/>
      <c r="B873" s="91" t="n"/>
      <c r="C873" s="89">
        <f>IF(OR($A873="",$B873=""),"",IFERROR(VLOOKUP($B873,Employés!$A:$B,2,0),""))</f>
        <v/>
      </c>
      <c r="D873" s="93" t="n"/>
      <c r="E873" s="93" t="n"/>
      <c r="F873" s="93" t="n"/>
      <c r="G873" s="93" t="n"/>
      <c r="H873" s="93" t="n"/>
      <c r="I873" s="105">
        <f>IF($A873="","",SUM(D873:H873))</f>
        <v/>
      </c>
    </row>
    <row r="874" ht="15" customHeight="1" s="71">
      <c r="A874" s="87" t="n"/>
      <c r="B874" s="91" t="n"/>
      <c r="C874" s="89">
        <f>IF(OR($A874="",$B874=""),"",IFERROR(VLOOKUP($B874,Employés!$A:$B,2,0),""))</f>
        <v/>
      </c>
      <c r="D874" s="93" t="n"/>
      <c r="E874" s="93" t="n"/>
      <c r="F874" s="93" t="n"/>
      <c r="G874" s="93" t="n"/>
      <c r="H874" s="93" t="n"/>
      <c r="I874" s="105">
        <f>IF($A874="","",SUM(D874:H874))</f>
        <v/>
      </c>
    </row>
    <row r="875" ht="15" customHeight="1" s="71">
      <c r="A875" s="87" t="n"/>
      <c r="B875" s="91" t="n"/>
      <c r="C875" s="89">
        <f>IF(OR($A875="",$B875=""),"",IFERROR(VLOOKUP($B875,Employés!$A:$B,2,0),""))</f>
        <v/>
      </c>
      <c r="D875" s="93" t="n"/>
      <c r="E875" s="93" t="n"/>
      <c r="F875" s="93" t="n"/>
      <c r="G875" s="93" t="n"/>
      <c r="H875" s="93" t="n"/>
      <c r="I875" s="105">
        <f>IF($A875="","",SUM(D875:H875))</f>
        <v/>
      </c>
    </row>
    <row r="876" ht="15" customHeight="1" s="71">
      <c r="A876" s="87" t="n"/>
      <c r="B876" s="91" t="n"/>
      <c r="C876" s="89">
        <f>IF(OR($A876="",$B876=""),"",IFERROR(VLOOKUP($B876,Employés!$A:$B,2,0),""))</f>
        <v/>
      </c>
      <c r="D876" s="93" t="n"/>
      <c r="E876" s="93" t="n"/>
      <c r="F876" s="93" t="n"/>
      <c r="G876" s="93" t="n"/>
      <c r="H876" s="93" t="n"/>
      <c r="I876" s="105">
        <f>IF($A876="","",SUM(D876:H876))</f>
        <v/>
      </c>
    </row>
    <row r="877" ht="15" customHeight="1" s="71">
      <c r="A877" s="87" t="n"/>
      <c r="B877" s="91" t="n"/>
      <c r="C877" s="89">
        <f>IF(OR($A877="",$B877=""),"",IFERROR(VLOOKUP($B877,Employés!$A:$B,2,0),""))</f>
        <v/>
      </c>
      <c r="D877" s="93" t="n"/>
      <c r="E877" s="93" t="n"/>
      <c r="F877" s="93" t="n"/>
      <c r="G877" s="93" t="n"/>
      <c r="H877" s="93" t="n"/>
      <c r="I877" s="105">
        <f>IF($A877="","",SUM(D877:H877))</f>
        <v/>
      </c>
    </row>
    <row r="878" ht="15" customHeight="1" s="71">
      <c r="A878" s="87" t="n"/>
      <c r="B878" s="91" t="n"/>
      <c r="C878" s="89">
        <f>IF(OR($A878="",$B878=""),"",IFERROR(VLOOKUP($B878,Employés!$A:$B,2,0),""))</f>
        <v/>
      </c>
      <c r="D878" s="93" t="n"/>
      <c r="E878" s="93" t="n"/>
      <c r="F878" s="93" t="n"/>
      <c r="G878" s="93" t="n"/>
      <c r="H878" s="93" t="n"/>
      <c r="I878" s="105">
        <f>IF($A878="","",SUM(D878:H878))</f>
        <v/>
      </c>
    </row>
    <row r="879" ht="15" customHeight="1" s="71">
      <c r="A879" s="87" t="n"/>
      <c r="B879" s="91" t="n"/>
      <c r="C879" s="89">
        <f>IF(OR($A879="",$B879=""),"",IFERROR(VLOOKUP($B879,Employés!$A:$B,2,0),""))</f>
        <v/>
      </c>
      <c r="D879" s="93" t="n"/>
      <c r="E879" s="93" t="n"/>
      <c r="F879" s="93" t="n"/>
      <c r="G879" s="93" t="n"/>
      <c r="H879" s="93" t="n"/>
      <c r="I879" s="105">
        <f>IF($A879="","",SUM(D879:H879))</f>
        <v/>
      </c>
    </row>
    <row r="880" ht="15" customHeight="1" s="71">
      <c r="A880" s="87" t="n"/>
      <c r="B880" s="91" t="n"/>
      <c r="C880" s="89">
        <f>IF(OR($A880="",$B880=""),"",IFERROR(VLOOKUP($B880,Employés!$A:$B,2,0),""))</f>
        <v/>
      </c>
      <c r="D880" s="93" t="n"/>
      <c r="E880" s="93" t="n"/>
      <c r="F880" s="93" t="n"/>
      <c r="G880" s="93" t="n"/>
      <c r="H880" s="93" t="n"/>
      <c r="I880" s="105">
        <f>IF($A880="","",SUM(D880:H880))</f>
        <v/>
      </c>
    </row>
    <row r="881" ht="15" customHeight="1" s="71">
      <c r="A881" s="87" t="n"/>
      <c r="B881" s="91" t="n"/>
      <c r="C881" s="89">
        <f>IF(OR($A881="",$B881=""),"",IFERROR(VLOOKUP($B881,Employés!$A:$B,2,0),""))</f>
        <v/>
      </c>
      <c r="D881" s="93" t="n"/>
      <c r="E881" s="93" t="n"/>
      <c r="F881" s="93" t="n"/>
      <c r="G881" s="93" t="n"/>
      <c r="H881" s="93" t="n"/>
      <c r="I881" s="105">
        <f>IF($A881="","",SUM(D881:H881))</f>
        <v/>
      </c>
    </row>
    <row r="882" ht="15" customHeight="1" s="71">
      <c r="A882" s="87" t="n"/>
      <c r="B882" s="91" t="n"/>
      <c r="C882" s="89">
        <f>IF(OR($A882="",$B882=""),"",IFERROR(VLOOKUP($B882,Employés!$A:$B,2,0),""))</f>
        <v/>
      </c>
      <c r="D882" s="93" t="n"/>
      <c r="E882" s="93" t="n"/>
      <c r="F882" s="93" t="n"/>
      <c r="G882" s="93" t="n"/>
      <c r="H882" s="93" t="n"/>
      <c r="I882" s="105">
        <f>IF($A882="","",SUM(D882:H882))</f>
        <v/>
      </c>
    </row>
    <row r="883" ht="15" customHeight="1" s="71">
      <c r="A883" s="87" t="n"/>
      <c r="B883" s="91" t="n"/>
      <c r="C883" s="89">
        <f>IF(OR($A883="",$B883=""),"",IFERROR(VLOOKUP($B883,Employés!$A:$B,2,0),""))</f>
        <v/>
      </c>
      <c r="D883" s="93" t="n"/>
      <c r="E883" s="93" t="n"/>
      <c r="F883" s="93" t="n"/>
      <c r="G883" s="93" t="n"/>
      <c r="H883" s="93" t="n"/>
      <c r="I883" s="105">
        <f>IF($A883="","",SUM(D883:H883))</f>
        <v/>
      </c>
    </row>
    <row r="884" ht="15" customHeight="1" s="71">
      <c r="A884" s="87" t="n"/>
      <c r="B884" s="91" t="n"/>
      <c r="C884" s="89">
        <f>IF(OR($A884="",$B884=""),"",IFERROR(VLOOKUP($B884,Employés!$A:$B,2,0),""))</f>
        <v/>
      </c>
      <c r="D884" s="93" t="n"/>
      <c r="E884" s="93" t="n"/>
      <c r="F884" s="93" t="n"/>
      <c r="G884" s="93" t="n"/>
      <c r="H884" s="93" t="n"/>
      <c r="I884" s="105">
        <f>IF($A884="","",SUM(D884:H884))</f>
        <v/>
      </c>
    </row>
    <row r="885" ht="15" customHeight="1" s="71">
      <c r="A885" s="87" t="n"/>
      <c r="B885" s="91" t="n"/>
      <c r="C885" s="89">
        <f>IF(OR($A885="",$B885=""),"",IFERROR(VLOOKUP($B885,Employés!$A:$B,2,0),""))</f>
        <v/>
      </c>
      <c r="D885" s="93" t="n"/>
      <c r="E885" s="93" t="n"/>
      <c r="F885" s="93" t="n"/>
      <c r="G885" s="93" t="n"/>
      <c r="H885" s="93" t="n"/>
      <c r="I885" s="105">
        <f>IF($A885="","",SUM(D885:H885))</f>
        <v/>
      </c>
    </row>
    <row r="886" ht="15" customHeight="1" s="71">
      <c r="A886" s="87" t="n"/>
      <c r="B886" s="91" t="n"/>
      <c r="C886" s="89">
        <f>IF(OR($A886="",$B886=""),"",IFERROR(VLOOKUP($B886,Employés!$A:$B,2,0),""))</f>
        <v/>
      </c>
      <c r="D886" s="93" t="n"/>
      <c r="E886" s="93" t="n"/>
      <c r="F886" s="93" t="n"/>
      <c r="G886" s="93" t="n"/>
      <c r="H886" s="93" t="n"/>
      <c r="I886" s="105">
        <f>IF($A886="","",SUM(D886:H886))</f>
        <v/>
      </c>
    </row>
    <row r="887" ht="15" customHeight="1" s="71">
      <c r="A887" s="87" t="n"/>
      <c r="B887" s="91" t="n"/>
      <c r="C887" s="89">
        <f>IF(OR($A887="",$B887=""),"",IFERROR(VLOOKUP($B887,Employés!$A:$B,2,0),""))</f>
        <v/>
      </c>
      <c r="D887" s="93" t="n"/>
      <c r="E887" s="93" t="n"/>
      <c r="F887" s="93" t="n"/>
      <c r="G887" s="93" t="n"/>
      <c r="H887" s="93" t="n"/>
      <c r="I887" s="105">
        <f>IF($A887="","",SUM(D887:H887))</f>
        <v/>
      </c>
    </row>
    <row r="888" ht="15" customHeight="1" s="71">
      <c r="A888" s="87" t="n"/>
      <c r="B888" s="91" t="n"/>
      <c r="C888" s="89">
        <f>IF(OR($A888="",$B888=""),"",IFERROR(VLOOKUP($B888,Employés!$A:$B,2,0),""))</f>
        <v/>
      </c>
      <c r="D888" s="93" t="n"/>
      <c r="E888" s="93" t="n"/>
      <c r="F888" s="93" t="n"/>
      <c r="G888" s="93" t="n"/>
      <c r="H888" s="93" t="n"/>
      <c r="I888" s="105">
        <f>IF($A888="","",SUM(D888:H888))</f>
        <v/>
      </c>
    </row>
    <row r="889" ht="15" customHeight="1" s="71">
      <c r="A889" s="87" t="n"/>
      <c r="B889" s="91" t="n"/>
      <c r="C889" s="89">
        <f>IF(OR($A889="",$B889=""),"",IFERROR(VLOOKUP($B889,Employés!$A:$B,2,0),""))</f>
        <v/>
      </c>
      <c r="D889" s="93" t="n"/>
      <c r="E889" s="93" t="n"/>
      <c r="F889" s="93" t="n"/>
      <c r="G889" s="93" t="n"/>
      <c r="H889" s="93" t="n"/>
      <c r="I889" s="105">
        <f>IF($A889="","",SUM(D889:H889))</f>
        <v/>
      </c>
    </row>
    <row r="890" ht="15" customHeight="1" s="71">
      <c r="A890" s="87" t="n"/>
      <c r="B890" s="91" t="n"/>
      <c r="C890" s="89">
        <f>IF(OR($A890="",$B890=""),"",IFERROR(VLOOKUP($B890,Employés!$A:$B,2,0),""))</f>
        <v/>
      </c>
      <c r="D890" s="93" t="n"/>
      <c r="E890" s="93" t="n"/>
      <c r="F890" s="93" t="n"/>
      <c r="G890" s="93" t="n"/>
      <c r="H890" s="93" t="n"/>
      <c r="I890" s="105">
        <f>IF($A890="","",SUM(D890:H890))</f>
        <v/>
      </c>
    </row>
    <row r="891" ht="15" customHeight="1" s="71">
      <c r="A891" s="87" t="n"/>
      <c r="B891" s="91" t="n"/>
      <c r="C891" s="89">
        <f>IF(OR($A891="",$B891=""),"",IFERROR(VLOOKUP($B891,Employés!$A:$B,2,0),""))</f>
        <v/>
      </c>
      <c r="D891" s="93" t="n"/>
      <c r="E891" s="93" t="n"/>
      <c r="F891" s="93" t="n"/>
      <c r="G891" s="93" t="n"/>
      <c r="H891" s="93" t="n"/>
      <c r="I891" s="105">
        <f>IF($A891="","",SUM(D891:H891))</f>
        <v/>
      </c>
    </row>
    <row r="892" ht="15" customHeight="1" s="71">
      <c r="A892" s="87" t="n"/>
      <c r="B892" s="91" t="n"/>
      <c r="C892" s="89">
        <f>IF(OR($A892="",$B892=""),"",IFERROR(VLOOKUP($B892,Employés!$A:$B,2,0),""))</f>
        <v/>
      </c>
      <c r="D892" s="93" t="n"/>
      <c r="E892" s="93" t="n"/>
      <c r="F892" s="93" t="n"/>
      <c r="G892" s="93" t="n"/>
      <c r="H892" s="93" t="n"/>
      <c r="I892" s="105">
        <f>IF($A892="","",SUM(D892:H892))</f>
        <v/>
      </c>
    </row>
    <row r="893" ht="15" customHeight="1" s="71">
      <c r="A893" s="87" t="n"/>
      <c r="B893" s="91" t="n"/>
      <c r="C893" s="89">
        <f>IF(OR($A893="",$B893=""),"",IFERROR(VLOOKUP($B893,Employés!$A:$B,2,0),""))</f>
        <v/>
      </c>
      <c r="D893" s="93" t="n"/>
      <c r="E893" s="93" t="n"/>
      <c r="F893" s="93" t="n"/>
      <c r="G893" s="93" t="n"/>
      <c r="H893" s="93" t="n"/>
      <c r="I893" s="105">
        <f>IF($A893="","",SUM(D893:H893))</f>
        <v/>
      </c>
    </row>
    <row r="894" ht="15" customHeight="1" s="71">
      <c r="A894" s="87" t="n"/>
      <c r="B894" s="91" t="n"/>
      <c r="C894" s="89">
        <f>IF(OR($A894="",$B894=""),"",IFERROR(VLOOKUP($B894,Employés!$A:$B,2,0),""))</f>
        <v/>
      </c>
      <c r="D894" s="93" t="n"/>
      <c r="E894" s="93" t="n"/>
      <c r="F894" s="93" t="n"/>
      <c r="G894" s="93" t="n"/>
      <c r="H894" s="93" t="n"/>
      <c r="I894" s="105">
        <f>IF($A894="","",SUM(D894:H894))</f>
        <v/>
      </c>
    </row>
    <row r="895" ht="15" customHeight="1" s="71">
      <c r="A895" s="87" t="n"/>
      <c r="B895" s="91" t="n"/>
      <c r="C895" s="89">
        <f>IF(OR($A895="",$B895=""),"",IFERROR(VLOOKUP($B895,Employés!$A:$B,2,0),""))</f>
        <v/>
      </c>
      <c r="D895" s="93" t="n"/>
      <c r="E895" s="93" t="n"/>
      <c r="F895" s="93" t="n"/>
      <c r="G895" s="93" t="n"/>
      <c r="H895" s="93" t="n"/>
      <c r="I895" s="105">
        <f>IF($A895="","",SUM(D895:H895))</f>
        <v/>
      </c>
    </row>
    <row r="896" ht="15" customHeight="1" s="71">
      <c r="A896" s="87" t="n"/>
      <c r="B896" s="91" t="n"/>
      <c r="C896" s="89">
        <f>IF(OR($A896="",$B896=""),"",IFERROR(VLOOKUP($B896,Employés!$A:$B,2,0),""))</f>
        <v/>
      </c>
      <c r="D896" s="93" t="n"/>
      <c r="E896" s="93" t="n"/>
      <c r="F896" s="93" t="n"/>
      <c r="G896" s="93" t="n"/>
      <c r="H896" s="93" t="n"/>
      <c r="I896" s="105">
        <f>IF($A896="","",SUM(D896:H896))</f>
        <v/>
      </c>
    </row>
    <row r="897" ht="15" customHeight="1" s="71">
      <c r="A897" s="87" t="n"/>
      <c r="B897" s="91" t="n"/>
      <c r="C897" s="89">
        <f>IF(OR($A897="",$B897=""),"",IFERROR(VLOOKUP($B897,Employés!$A:$B,2,0),""))</f>
        <v/>
      </c>
      <c r="D897" s="93" t="n"/>
      <c r="E897" s="93" t="n"/>
      <c r="F897" s="93" t="n"/>
      <c r="G897" s="93" t="n"/>
      <c r="H897" s="93" t="n"/>
      <c r="I897" s="105">
        <f>IF($A897="","",SUM(D897:H897))</f>
        <v/>
      </c>
    </row>
    <row r="898" ht="15" customHeight="1" s="71">
      <c r="A898" s="87" t="n"/>
      <c r="B898" s="91" t="n"/>
      <c r="C898" s="89">
        <f>IF(OR($A898="",$B898=""),"",IFERROR(VLOOKUP($B898,Employés!$A:$B,2,0),""))</f>
        <v/>
      </c>
      <c r="D898" s="93" t="n"/>
      <c r="E898" s="93" t="n"/>
      <c r="F898" s="93" t="n"/>
      <c r="G898" s="93" t="n"/>
      <c r="H898" s="93" t="n"/>
      <c r="I898" s="105">
        <f>IF($A898="","",SUM(D898:H898))</f>
        <v/>
      </c>
    </row>
    <row r="899" ht="15" customHeight="1" s="71">
      <c r="A899" s="87" t="n"/>
      <c r="B899" s="91" t="n"/>
      <c r="C899" s="89">
        <f>IF(OR($A899="",$B899=""),"",IFERROR(VLOOKUP($B899,Employés!$A:$B,2,0),""))</f>
        <v/>
      </c>
      <c r="D899" s="93" t="n"/>
      <c r="E899" s="93" t="n"/>
      <c r="F899" s="93" t="n"/>
      <c r="G899" s="93" t="n"/>
      <c r="H899" s="93" t="n"/>
      <c r="I899" s="105">
        <f>IF($A899="","",SUM(D899:H899))</f>
        <v/>
      </c>
    </row>
    <row r="900" ht="15" customHeight="1" s="71">
      <c r="A900" s="87" t="n"/>
      <c r="B900" s="91" t="n"/>
      <c r="C900" s="89">
        <f>IF(OR($A900="",$B900=""),"",IFERROR(VLOOKUP($B900,Employés!$A:$B,2,0),""))</f>
        <v/>
      </c>
      <c r="D900" s="93" t="n"/>
      <c r="E900" s="93" t="n"/>
      <c r="F900" s="93" t="n"/>
      <c r="G900" s="93" t="n"/>
      <c r="H900" s="93" t="n"/>
      <c r="I900" s="105">
        <f>IF($A900="","",SUM(D900:H900))</f>
        <v/>
      </c>
    </row>
    <row r="901" ht="15" customHeight="1" s="71">
      <c r="A901" s="87" t="n"/>
      <c r="B901" s="91" t="n"/>
      <c r="C901" s="89">
        <f>IF(OR($A901="",$B901=""),"",IFERROR(VLOOKUP($B901,Employés!$A:$B,2,0),""))</f>
        <v/>
      </c>
      <c r="D901" s="93" t="n"/>
      <c r="E901" s="93" t="n"/>
      <c r="F901" s="93" t="n"/>
      <c r="G901" s="93" t="n"/>
      <c r="H901" s="93" t="n"/>
      <c r="I901" s="105">
        <f>IF($A901="","",SUM(D901:H901))</f>
        <v/>
      </c>
    </row>
    <row r="902" ht="15" customHeight="1" s="71">
      <c r="A902" s="87" t="n"/>
      <c r="B902" s="91" t="n"/>
      <c r="C902" s="89">
        <f>IF(OR($A902="",$B902=""),"",IFERROR(VLOOKUP($B902,Employés!$A:$B,2,0),""))</f>
        <v/>
      </c>
      <c r="D902" s="93" t="n"/>
      <c r="E902" s="93" t="n"/>
      <c r="F902" s="93" t="n"/>
      <c r="G902" s="93" t="n"/>
      <c r="H902" s="93" t="n"/>
      <c r="I902" s="105">
        <f>IF($A902="","",SUM(D902:H902))</f>
        <v/>
      </c>
    </row>
    <row r="903" ht="15" customHeight="1" s="71">
      <c r="A903" s="87" t="n"/>
      <c r="B903" s="91" t="n"/>
      <c r="C903" s="89">
        <f>IF(OR($A903="",$B903=""),"",IFERROR(VLOOKUP($B903,Employés!$A:$B,2,0),""))</f>
        <v/>
      </c>
      <c r="D903" s="93" t="n"/>
      <c r="E903" s="93" t="n"/>
      <c r="F903" s="93" t="n"/>
      <c r="G903" s="93" t="n"/>
      <c r="H903" s="93" t="n"/>
      <c r="I903" s="105">
        <f>IF($A903="","",SUM(D903:H903))</f>
        <v/>
      </c>
    </row>
    <row r="904" ht="15" customHeight="1" s="71">
      <c r="A904" s="87" t="n"/>
      <c r="B904" s="91" t="n"/>
      <c r="C904" s="89">
        <f>IF(OR($A904="",$B904=""),"",IFERROR(VLOOKUP($B904,Employés!$A:$B,2,0),""))</f>
        <v/>
      </c>
      <c r="D904" s="93" t="n"/>
      <c r="E904" s="93" t="n"/>
      <c r="F904" s="93" t="n"/>
      <c r="G904" s="93" t="n"/>
      <c r="H904" s="93" t="n"/>
      <c r="I904" s="105">
        <f>IF($A904="","",SUM(D904:H904))</f>
        <v/>
      </c>
    </row>
    <row r="905" ht="15" customHeight="1" s="71">
      <c r="A905" s="87" t="n"/>
      <c r="B905" s="91" t="n"/>
      <c r="C905" s="89">
        <f>IF(OR($A905="",$B905=""),"",IFERROR(VLOOKUP($B905,Employés!$A:$B,2,0),""))</f>
        <v/>
      </c>
      <c r="D905" s="93" t="n"/>
      <c r="E905" s="93" t="n"/>
      <c r="F905" s="93" t="n"/>
      <c r="G905" s="93" t="n"/>
      <c r="H905" s="93" t="n"/>
      <c r="I905" s="105">
        <f>IF($A905="","",SUM(D905:H905))</f>
        <v/>
      </c>
    </row>
    <row r="906" ht="15" customHeight="1" s="71">
      <c r="A906" s="87" t="n"/>
      <c r="B906" s="91" t="n"/>
      <c r="C906" s="89">
        <f>IF(OR($A906="",$B906=""),"",IFERROR(VLOOKUP($B906,Employés!$A:$B,2,0),""))</f>
        <v/>
      </c>
      <c r="D906" s="93" t="n"/>
      <c r="E906" s="93" t="n"/>
      <c r="F906" s="93" t="n"/>
      <c r="G906" s="93" t="n"/>
      <c r="H906" s="93" t="n"/>
      <c r="I906" s="105">
        <f>IF($A906="","",SUM(D906:H906))</f>
        <v/>
      </c>
    </row>
    <row r="907" ht="15" customHeight="1" s="71">
      <c r="A907" s="87" t="n"/>
      <c r="B907" s="91" t="n"/>
      <c r="C907" s="89">
        <f>IF(OR($A907="",$B907=""),"",IFERROR(VLOOKUP($B907,Employés!$A:$B,2,0),""))</f>
        <v/>
      </c>
      <c r="D907" s="93" t="n"/>
      <c r="E907" s="93" t="n"/>
      <c r="F907" s="93" t="n"/>
      <c r="G907" s="93" t="n"/>
      <c r="H907" s="93" t="n"/>
      <c r="I907" s="105">
        <f>IF($A907="","",SUM(D907:H907))</f>
        <v/>
      </c>
    </row>
    <row r="908" ht="15" customHeight="1" s="71">
      <c r="A908" s="87" t="n"/>
      <c r="B908" s="91" t="n"/>
      <c r="C908" s="89">
        <f>IF(OR($A908="",$B908=""),"",IFERROR(VLOOKUP($B908,Employés!$A:$B,2,0),""))</f>
        <v/>
      </c>
      <c r="D908" s="93" t="n"/>
      <c r="E908" s="93" t="n"/>
      <c r="F908" s="93" t="n"/>
      <c r="G908" s="93" t="n"/>
      <c r="H908" s="93" t="n"/>
      <c r="I908" s="105">
        <f>IF($A908="","",SUM(D908:H908))</f>
        <v/>
      </c>
    </row>
    <row r="909" ht="15" customHeight="1" s="71">
      <c r="A909" s="87" t="n"/>
      <c r="B909" s="91" t="n"/>
      <c r="C909" s="89">
        <f>IF(OR($A909="",$B909=""),"",IFERROR(VLOOKUP($B909,Employés!$A:$B,2,0),""))</f>
        <v/>
      </c>
      <c r="D909" s="93" t="n"/>
      <c r="E909" s="93" t="n"/>
      <c r="F909" s="93" t="n"/>
      <c r="G909" s="93" t="n"/>
      <c r="H909" s="93" t="n"/>
      <c r="I909" s="105">
        <f>IF($A909="","",SUM(D909:H909))</f>
        <v/>
      </c>
    </row>
    <row r="910" ht="15" customHeight="1" s="71">
      <c r="A910" s="87" t="n"/>
      <c r="B910" s="91" t="n"/>
      <c r="C910" s="89">
        <f>IF(OR($A910="",$B910=""),"",IFERROR(VLOOKUP($B910,Employés!$A:$B,2,0),""))</f>
        <v/>
      </c>
      <c r="D910" s="93" t="n"/>
      <c r="E910" s="93" t="n"/>
      <c r="F910" s="93" t="n"/>
      <c r="G910" s="93" t="n"/>
      <c r="H910" s="93" t="n"/>
      <c r="I910" s="105">
        <f>IF($A910="","",SUM(D910:H910))</f>
        <v/>
      </c>
    </row>
    <row r="911" ht="15" customHeight="1" s="71">
      <c r="A911" s="87" t="n"/>
      <c r="B911" s="91" t="n"/>
      <c r="C911" s="89">
        <f>IF(OR($A911="",$B911=""),"",IFERROR(VLOOKUP($B911,Employés!$A:$B,2,0),""))</f>
        <v/>
      </c>
      <c r="D911" s="93" t="n"/>
      <c r="E911" s="93" t="n"/>
      <c r="F911" s="93" t="n"/>
      <c r="G911" s="93" t="n"/>
      <c r="H911" s="93" t="n"/>
      <c r="I911" s="105">
        <f>IF($A911="","",SUM(D911:H911))</f>
        <v/>
      </c>
    </row>
    <row r="912" ht="15" customHeight="1" s="71">
      <c r="A912" s="87" t="n"/>
      <c r="B912" s="91" t="n"/>
      <c r="C912" s="89">
        <f>IF(OR($A912="",$B912=""),"",IFERROR(VLOOKUP($B912,Employés!$A:$B,2,0),""))</f>
        <v/>
      </c>
      <c r="D912" s="93" t="n"/>
      <c r="E912" s="93" t="n"/>
      <c r="F912" s="93" t="n"/>
      <c r="G912" s="93" t="n"/>
      <c r="H912" s="93" t="n"/>
      <c r="I912" s="105">
        <f>IF($A912="","",SUM(D912:H912))</f>
        <v/>
      </c>
    </row>
    <row r="913" ht="15" customHeight="1" s="71">
      <c r="A913" s="87" t="n"/>
      <c r="B913" s="91" t="n"/>
      <c r="C913" s="89">
        <f>IF(OR($A913="",$B913=""),"",IFERROR(VLOOKUP($B913,Employés!$A:$B,2,0),""))</f>
        <v/>
      </c>
      <c r="D913" s="93" t="n"/>
      <c r="E913" s="93" t="n"/>
      <c r="F913" s="93" t="n"/>
      <c r="G913" s="93" t="n"/>
      <c r="H913" s="93" t="n"/>
      <c r="I913" s="105">
        <f>IF($A913="","",SUM(D913:H913))</f>
        <v/>
      </c>
    </row>
    <row r="914" ht="15" customHeight="1" s="71">
      <c r="A914" s="87" t="n"/>
      <c r="B914" s="91" t="n"/>
      <c r="C914" s="89">
        <f>IF(OR($A914="",$B914=""),"",IFERROR(VLOOKUP($B914,Employés!$A:$B,2,0),""))</f>
        <v/>
      </c>
      <c r="D914" s="93" t="n"/>
      <c r="E914" s="93" t="n"/>
      <c r="F914" s="93" t="n"/>
      <c r="G914" s="93" t="n"/>
      <c r="H914" s="93" t="n"/>
      <c r="I914" s="105">
        <f>IF($A914="","",SUM(D914:H914))</f>
        <v/>
      </c>
    </row>
    <row r="915" ht="15" customHeight="1" s="71">
      <c r="A915" s="87" t="n"/>
      <c r="B915" s="91" t="n"/>
      <c r="C915" s="89">
        <f>IF(OR($A915="",$B915=""),"",IFERROR(VLOOKUP($B915,Employés!$A:$B,2,0),""))</f>
        <v/>
      </c>
      <c r="D915" s="93" t="n"/>
      <c r="E915" s="93" t="n"/>
      <c r="F915" s="93" t="n"/>
      <c r="G915" s="93" t="n"/>
      <c r="H915" s="93" t="n"/>
      <c r="I915" s="105">
        <f>IF($A915="","",SUM(D915:H915))</f>
        <v/>
      </c>
    </row>
    <row r="916" ht="15" customHeight="1" s="71">
      <c r="A916" s="87" t="n"/>
      <c r="B916" s="91" t="n"/>
      <c r="C916" s="89">
        <f>IF(OR($A916="",$B916=""),"",IFERROR(VLOOKUP($B916,Employés!$A:$B,2,0),""))</f>
        <v/>
      </c>
      <c r="D916" s="93" t="n"/>
      <c r="E916" s="93" t="n"/>
      <c r="F916" s="93" t="n"/>
      <c r="G916" s="93" t="n"/>
      <c r="H916" s="93" t="n"/>
      <c r="I916" s="105">
        <f>IF($A916="","",SUM(D916:H916))</f>
        <v/>
      </c>
    </row>
    <row r="917" ht="15" customHeight="1" s="71">
      <c r="A917" s="87" t="n"/>
      <c r="B917" s="91" t="n"/>
      <c r="C917" s="89">
        <f>IF(OR($A917="",$B917=""),"",IFERROR(VLOOKUP($B917,Employés!$A:$B,2,0),""))</f>
        <v/>
      </c>
      <c r="D917" s="93" t="n"/>
      <c r="E917" s="93" t="n"/>
      <c r="F917" s="93" t="n"/>
      <c r="G917" s="93" t="n"/>
      <c r="H917" s="93" t="n"/>
      <c r="I917" s="105">
        <f>IF($A917="","",SUM(D917:H917))</f>
        <v/>
      </c>
    </row>
    <row r="918" ht="15" customHeight="1" s="71">
      <c r="A918" s="87" t="n"/>
      <c r="B918" s="91" t="n"/>
      <c r="C918" s="89">
        <f>IF(OR($A918="",$B918=""),"",IFERROR(VLOOKUP($B918,Employés!$A:$B,2,0),""))</f>
        <v/>
      </c>
      <c r="D918" s="93" t="n"/>
      <c r="E918" s="93" t="n"/>
      <c r="F918" s="93" t="n"/>
      <c r="G918" s="93" t="n"/>
      <c r="H918" s="93" t="n"/>
      <c r="I918" s="105">
        <f>IF($A918="","",SUM(D918:H918))</f>
        <v/>
      </c>
    </row>
    <row r="919" ht="15" customHeight="1" s="71">
      <c r="A919" s="87" t="n"/>
      <c r="B919" s="91" t="n"/>
      <c r="C919" s="89">
        <f>IF(OR($A919="",$B919=""),"",IFERROR(VLOOKUP($B919,Employés!$A:$B,2,0),""))</f>
        <v/>
      </c>
      <c r="D919" s="93" t="n"/>
      <c r="E919" s="93" t="n"/>
      <c r="F919" s="93" t="n"/>
      <c r="G919" s="93" t="n"/>
      <c r="H919" s="93" t="n"/>
      <c r="I919" s="105">
        <f>IF($A919="","",SUM(D919:H919))</f>
        <v/>
      </c>
    </row>
    <row r="920" ht="15" customHeight="1" s="71">
      <c r="A920" s="87" t="n"/>
      <c r="B920" s="91" t="n"/>
      <c r="C920" s="89">
        <f>IF(OR($A920="",$B920=""),"",IFERROR(VLOOKUP($B920,Employés!$A:$B,2,0),""))</f>
        <v/>
      </c>
      <c r="D920" s="93" t="n"/>
      <c r="E920" s="93" t="n"/>
      <c r="F920" s="93" t="n"/>
      <c r="G920" s="93" t="n"/>
      <c r="H920" s="93" t="n"/>
      <c r="I920" s="105">
        <f>IF($A920="","",SUM(D920:H920))</f>
        <v/>
      </c>
    </row>
    <row r="921" ht="15" customHeight="1" s="71">
      <c r="A921" s="87" t="n"/>
      <c r="B921" s="91" t="n"/>
      <c r="C921" s="89">
        <f>IF(OR($A921="",$B921=""),"",IFERROR(VLOOKUP($B921,Employés!$A:$B,2,0),""))</f>
        <v/>
      </c>
      <c r="D921" s="93" t="n"/>
      <c r="E921" s="93" t="n"/>
      <c r="F921" s="93" t="n"/>
      <c r="G921" s="93" t="n"/>
      <c r="H921" s="93" t="n"/>
      <c r="I921" s="105">
        <f>IF($A921="","",SUM(D921:H921))</f>
        <v/>
      </c>
    </row>
    <row r="922" ht="15" customHeight="1" s="71">
      <c r="A922" s="87" t="n"/>
      <c r="B922" s="91" t="n"/>
      <c r="C922" s="89">
        <f>IF(OR($A922="",$B922=""),"",IFERROR(VLOOKUP($B922,Employés!$A:$B,2,0),""))</f>
        <v/>
      </c>
      <c r="D922" s="93" t="n"/>
      <c r="E922" s="93" t="n"/>
      <c r="F922" s="93" t="n"/>
      <c r="G922" s="93" t="n"/>
      <c r="H922" s="93" t="n"/>
      <c r="I922" s="105">
        <f>IF($A922="","",SUM(D922:H922))</f>
        <v/>
      </c>
    </row>
    <row r="923" ht="15" customHeight="1" s="71">
      <c r="A923" s="87" t="n"/>
      <c r="B923" s="91" t="n"/>
      <c r="C923" s="89">
        <f>IF(OR($A923="",$B923=""),"",IFERROR(VLOOKUP($B923,Employés!$A:$B,2,0),""))</f>
        <v/>
      </c>
      <c r="D923" s="93" t="n"/>
      <c r="E923" s="93" t="n"/>
      <c r="F923" s="93" t="n"/>
      <c r="G923" s="93" t="n"/>
      <c r="H923" s="93" t="n"/>
      <c r="I923" s="105">
        <f>IF($A923="","",SUM(D923:H923))</f>
        <v/>
      </c>
    </row>
    <row r="924" ht="15" customHeight="1" s="71">
      <c r="A924" s="87" t="n"/>
      <c r="B924" s="91" t="n"/>
      <c r="C924" s="89">
        <f>IF(OR($A924="",$B924=""),"",IFERROR(VLOOKUP($B924,Employés!$A:$B,2,0),""))</f>
        <v/>
      </c>
      <c r="D924" s="93" t="n"/>
      <c r="E924" s="93" t="n"/>
      <c r="F924" s="93" t="n"/>
      <c r="G924" s="93" t="n"/>
      <c r="H924" s="93" t="n"/>
      <c r="I924" s="105">
        <f>IF($A924="","",SUM(D924:H924))</f>
        <v/>
      </c>
    </row>
    <row r="925" ht="15" customHeight="1" s="71">
      <c r="A925" s="87" t="n"/>
      <c r="B925" s="91" t="n"/>
      <c r="C925" s="89">
        <f>IF(OR($A925="",$B925=""),"",IFERROR(VLOOKUP($B925,Employés!$A:$B,2,0),""))</f>
        <v/>
      </c>
      <c r="D925" s="93" t="n"/>
      <c r="E925" s="93" t="n"/>
      <c r="F925" s="93" t="n"/>
      <c r="G925" s="93" t="n"/>
      <c r="H925" s="93" t="n"/>
      <c r="I925" s="105">
        <f>IF($A925="","",SUM(D925:H925))</f>
        <v/>
      </c>
    </row>
    <row r="926" ht="15" customHeight="1" s="71">
      <c r="A926" s="87" t="n"/>
      <c r="B926" s="91" t="n"/>
      <c r="C926" s="89">
        <f>IF(OR($A926="",$B926=""),"",IFERROR(VLOOKUP($B926,Employés!$A:$B,2,0),""))</f>
        <v/>
      </c>
      <c r="D926" s="93" t="n"/>
      <c r="E926" s="93" t="n"/>
      <c r="F926" s="93" t="n"/>
      <c r="G926" s="93" t="n"/>
      <c r="H926" s="93" t="n"/>
      <c r="I926" s="105">
        <f>IF($A926="","",SUM(D926:H926))</f>
        <v/>
      </c>
    </row>
    <row r="927" ht="15" customHeight="1" s="71">
      <c r="A927" s="87" t="n"/>
      <c r="B927" s="91" t="n"/>
      <c r="C927" s="89">
        <f>IF(OR($A927="",$B927=""),"",IFERROR(VLOOKUP($B927,Employés!$A:$B,2,0),""))</f>
        <v/>
      </c>
      <c r="D927" s="93" t="n"/>
      <c r="E927" s="93" t="n"/>
      <c r="F927" s="93" t="n"/>
      <c r="G927" s="93" t="n"/>
      <c r="H927" s="93" t="n"/>
      <c r="I927" s="105">
        <f>IF($A927="","",SUM(D927:H927))</f>
        <v/>
      </c>
    </row>
    <row r="928" ht="15" customHeight="1" s="71">
      <c r="A928" s="87" t="n"/>
      <c r="B928" s="91" t="n"/>
      <c r="C928" s="89">
        <f>IF(OR($A928="",$B928=""),"",IFERROR(VLOOKUP($B928,Employés!$A:$B,2,0),""))</f>
        <v/>
      </c>
      <c r="D928" s="93" t="n"/>
      <c r="E928" s="93" t="n"/>
      <c r="F928" s="93" t="n"/>
      <c r="G928" s="93" t="n"/>
      <c r="H928" s="93" t="n"/>
      <c r="I928" s="105">
        <f>IF($A928="","",SUM(D928:H928))</f>
        <v/>
      </c>
    </row>
    <row r="929" ht="15" customHeight="1" s="71">
      <c r="A929" s="87" t="n"/>
      <c r="B929" s="91" t="n"/>
      <c r="C929" s="89">
        <f>IF(OR($A929="",$B929=""),"",IFERROR(VLOOKUP($B929,Employés!$A:$B,2,0),""))</f>
        <v/>
      </c>
      <c r="D929" s="93" t="n"/>
      <c r="E929" s="93" t="n"/>
      <c r="F929" s="93" t="n"/>
      <c r="G929" s="93" t="n"/>
      <c r="H929" s="93" t="n"/>
      <c r="I929" s="105">
        <f>IF($A929="","",SUM(D929:H929))</f>
        <v/>
      </c>
    </row>
    <row r="930" ht="15" customHeight="1" s="71">
      <c r="A930" s="87" t="n"/>
      <c r="B930" s="91" t="n"/>
      <c r="C930" s="89">
        <f>IF(OR($A930="",$B930=""),"",IFERROR(VLOOKUP($B930,Employés!$A:$B,2,0),""))</f>
        <v/>
      </c>
      <c r="D930" s="93" t="n"/>
      <c r="E930" s="93" t="n"/>
      <c r="F930" s="93" t="n"/>
      <c r="G930" s="93" t="n"/>
      <c r="H930" s="93" t="n"/>
      <c r="I930" s="105">
        <f>IF($A930="","",SUM(D930:H930))</f>
        <v/>
      </c>
    </row>
    <row r="931" ht="15" customHeight="1" s="71">
      <c r="A931" s="87" t="n"/>
      <c r="B931" s="91" t="n"/>
      <c r="C931" s="89">
        <f>IF(OR($A931="",$B931=""),"",IFERROR(VLOOKUP($B931,Employés!$A:$B,2,0),""))</f>
        <v/>
      </c>
      <c r="D931" s="93" t="n"/>
      <c r="E931" s="93" t="n"/>
      <c r="F931" s="93" t="n"/>
      <c r="G931" s="93" t="n"/>
      <c r="H931" s="93" t="n"/>
      <c r="I931" s="105">
        <f>IF($A931="","",SUM(D931:H931))</f>
        <v/>
      </c>
    </row>
    <row r="932" ht="15" customHeight="1" s="71">
      <c r="A932" s="87" t="n"/>
      <c r="B932" s="91" t="n"/>
      <c r="C932" s="89">
        <f>IF(OR($A932="",$B932=""),"",IFERROR(VLOOKUP($B932,Employés!$A:$B,2,0),""))</f>
        <v/>
      </c>
      <c r="D932" s="93" t="n"/>
      <c r="E932" s="93" t="n"/>
      <c r="F932" s="93" t="n"/>
      <c r="G932" s="93" t="n"/>
      <c r="H932" s="93" t="n"/>
      <c r="I932" s="105">
        <f>IF($A932="","",SUM(D932:H932))</f>
        <v/>
      </c>
    </row>
    <row r="933" ht="15" customHeight="1" s="71">
      <c r="A933" s="87" t="n"/>
      <c r="B933" s="91" t="n"/>
      <c r="C933" s="89">
        <f>IF(OR($A933="",$B933=""),"",IFERROR(VLOOKUP($B933,Employés!$A:$B,2,0),""))</f>
        <v/>
      </c>
      <c r="D933" s="93" t="n"/>
      <c r="E933" s="93" t="n"/>
      <c r="F933" s="93" t="n"/>
      <c r="G933" s="93" t="n"/>
      <c r="H933" s="93" t="n"/>
      <c r="I933" s="105">
        <f>IF($A933="","",SUM(D933:H933))</f>
        <v/>
      </c>
    </row>
    <row r="934" ht="15" customHeight="1" s="71">
      <c r="A934" s="87" t="n"/>
      <c r="B934" s="91" t="n"/>
      <c r="C934" s="89">
        <f>IF(OR($A934="",$B934=""),"",IFERROR(VLOOKUP($B934,Employés!$A:$B,2,0),""))</f>
        <v/>
      </c>
      <c r="D934" s="93" t="n"/>
      <c r="E934" s="93" t="n"/>
      <c r="F934" s="93" t="n"/>
      <c r="G934" s="93" t="n"/>
      <c r="H934" s="93" t="n"/>
      <c r="I934" s="105">
        <f>IF($A934="","",SUM(D934:H934))</f>
        <v/>
      </c>
    </row>
    <row r="935" ht="15" customHeight="1" s="71">
      <c r="A935" s="87" t="n"/>
      <c r="B935" s="91" t="n"/>
      <c r="C935" s="89">
        <f>IF(OR($A935="",$B935=""),"",IFERROR(VLOOKUP($B935,Employés!$A:$B,2,0),""))</f>
        <v/>
      </c>
      <c r="D935" s="93" t="n"/>
      <c r="E935" s="93" t="n"/>
      <c r="F935" s="93" t="n"/>
      <c r="G935" s="93" t="n"/>
      <c r="H935" s="93" t="n"/>
      <c r="I935" s="105">
        <f>IF($A935="","",SUM(D935:H935))</f>
        <v/>
      </c>
    </row>
    <row r="936" ht="15" customHeight="1" s="71">
      <c r="A936" s="87" t="n"/>
      <c r="B936" s="91" t="n"/>
      <c r="C936" s="89">
        <f>IF(OR($A936="",$B936=""),"",IFERROR(VLOOKUP($B936,Employés!$A:$B,2,0),""))</f>
        <v/>
      </c>
      <c r="D936" s="93" t="n"/>
      <c r="E936" s="93" t="n"/>
      <c r="F936" s="93" t="n"/>
      <c r="G936" s="93" t="n"/>
      <c r="H936" s="93" t="n"/>
      <c r="I936" s="105">
        <f>IF($A936="","",SUM(D936:H936))</f>
        <v/>
      </c>
    </row>
    <row r="937" ht="15" customHeight="1" s="71">
      <c r="A937" s="87" t="n"/>
      <c r="B937" s="91" t="n"/>
      <c r="C937" s="89">
        <f>IF(OR($A937="",$B937=""),"",IFERROR(VLOOKUP($B937,Employés!$A:$B,2,0),""))</f>
        <v/>
      </c>
      <c r="D937" s="93" t="n"/>
      <c r="E937" s="93" t="n"/>
      <c r="F937" s="93" t="n"/>
      <c r="G937" s="93" t="n"/>
      <c r="H937" s="93" t="n"/>
      <c r="I937" s="105">
        <f>IF($A937="","",SUM(D937:H937))</f>
        <v/>
      </c>
    </row>
    <row r="938" ht="15" customHeight="1" s="71">
      <c r="A938" s="87" t="n"/>
      <c r="B938" s="91" t="n"/>
      <c r="C938" s="89">
        <f>IF(OR($A938="",$B938=""),"",IFERROR(VLOOKUP($B938,Employés!$A:$B,2,0),""))</f>
        <v/>
      </c>
      <c r="D938" s="93" t="n"/>
      <c r="E938" s="93" t="n"/>
      <c r="F938" s="93" t="n"/>
      <c r="G938" s="93" t="n"/>
      <c r="H938" s="93" t="n"/>
      <c r="I938" s="105">
        <f>IF($A938="","",SUM(D938:H938))</f>
        <v/>
      </c>
    </row>
    <row r="939" ht="15" customHeight="1" s="71">
      <c r="A939" s="87" t="n"/>
      <c r="B939" s="91" t="n"/>
      <c r="C939" s="89">
        <f>IF(OR($A939="",$B939=""),"",IFERROR(VLOOKUP($B939,Employés!$A:$B,2,0),""))</f>
        <v/>
      </c>
      <c r="D939" s="93" t="n"/>
      <c r="E939" s="93" t="n"/>
      <c r="F939" s="93" t="n"/>
      <c r="G939" s="93" t="n"/>
      <c r="H939" s="93" t="n"/>
      <c r="I939" s="105">
        <f>IF($A939="","",SUM(D939:H939))</f>
        <v/>
      </c>
    </row>
    <row r="940" ht="15" customHeight="1" s="71">
      <c r="A940" s="87" t="n"/>
      <c r="B940" s="91" t="n"/>
      <c r="C940" s="89">
        <f>IF(OR($A940="",$B940=""),"",IFERROR(VLOOKUP($B940,Employés!$A:$B,2,0),""))</f>
        <v/>
      </c>
      <c r="D940" s="93" t="n"/>
      <c r="E940" s="93" t="n"/>
      <c r="F940" s="93" t="n"/>
      <c r="G940" s="93" t="n"/>
      <c r="H940" s="93" t="n"/>
      <c r="I940" s="105">
        <f>IF($A940="","",SUM(D940:H940))</f>
        <v/>
      </c>
    </row>
    <row r="941" ht="15" customHeight="1" s="71">
      <c r="A941" s="87" t="n"/>
      <c r="B941" s="91" t="n"/>
      <c r="C941" s="89">
        <f>IF(OR($A941="",$B941=""),"",IFERROR(VLOOKUP($B941,Employés!$A:$B,2,0),""))</f>
        <v/>
      </c>
      <c r="D941" s="93" t="n"/>
      <c r="E941" s="93" t="n"/>
      <c r="F941" s="93" t="n"/>
      <c r="G941" s="93" t="n"/>
      <c r="H941" s="93" t="n"/>
      <c r="I941" s="105">
        <f>IF($A941="","",SUM(D941:H941))</f>
        <v/>
      </c>
    </row>
    <row r="942" ht="15" customHeight="1" s="71">
      <c r="A942" s="87" t="n"/>
      <c r="B942" s="91" t="n"/>
      <c r="C942" s="89">
        <f>IF(OR($A942="",$B942=""),"",IFERROR(VLOOKUP($B942,Employés!$A:$B,2,0),""))</f>
        <v/>
      </c>
      <c r="D942" s="93" t="n"/>
      <c r="E942" s="93" t="n"/>
      <c r="F942" s="93" t="n"/>
      <c r="G942" s="93" t="n"/>
      <c r="H942" s="93" t="n"/>
      <c r="I942" s="105">
        <f>IF($A942="","",SUM(D942:H942))</f>
        <v/>
      </c>
    </row>
    <row r="943" ht="15" customHeight="1" s="71">
      <c r="A943" s="87" t="n"/>
      <c r="B943" s="91" t="n"/>
      <c r="C943" s="89">
        <f>IF(OR($A943="",$B943=""),"",IFERROR(VLOOKUP($B943,Employés!$A:$B,2,0),""))</f>
        <v/>
      </c>
      <c r="D943" s="93" t="n"/>
      <c r="E943" s="93" t="n"/>
      <c r="F943" s="93" t="n"/>
      <c r="G943" s="93" t="n"/>
      <c r="H943" s="93" t="n"/>
      <c r="I943" s="105">
        <f>IF($A943="","",SUM(D943:H943))</f>
        <v/>
      </c>
    </row>
    <row r="944" ht="15" customHeight="1" s="71">
      <c r="A944" s="87" t="n"/>
      <c r="B944" s="91" t="n"/>
      <c r="C944" s="89">
        <f>IF(OR($A944="",$B944=""),"",IFERROR(VLOOKUP($B944,Employés!$A:$B,2,0),""))</f>
        <v/>
      </c>
      <c r="D944" s="93" t="n"/>
      <c r="E944" s="93" t="n"/>
      <c r="F944" s="93" t="n"/>
      <c r="G944" s="93" t="n"/>
      <c r="H944" s="93" t="n"/>
      <c r="I944" s="105">
        <f>IF($A944="","",SUM(D944:H944))</f>
        <v/>
      </c>
    </row>
    <row r="945" ht="15" customHeight="1" s="71">
      <c r="A945" s="87" t="n"/>
      <c r="B945" s="91" t="n"/>
      <c r="C945" s="89">
        <f>IF(OR($A945="",$B945=""),"",IFERROR(VLOOKUP($B945,Employés!$A:$B,2,0),""))</f>
        <v/>
      </c>
      <c r="D945" s="93" t="n"/>
      <c r="E945" s="93" t="n"/>
      <c r="F945" s="93" t="n"/>
      <c r="G945" s="93" t="n"/>
      <c r="H945" s="93" t="n"/>
      <c r="I945" s="105">
        <f>IF($A945="","",SUM(D945:H945))</f>
        <v/>
      </c>
    </row>
    <row r="946" ht="15" customHeight="1" s="71">
      <c r="A946" s="87" t="n"/>
      <c r="B946" s="91" t="n"/>
      <c r="C946" s="89">
        <f>IF(OR($A946="",$B946=""),"",IFERROR(VLOOKUP($B946,Employés!$A:$B,2,0),""))</f>
        <v/>
      </c>
      <c r="D946" s="93" t="n"/>
      <c r="E946" s="93" t="n"/>
      <c r="F946" s="93" t="n"/>
      <c r="G946" s="93" t="n"/>
      <c r="H946" s="93" t="n"/>
      <c r="I946" s="105">
        <f>IF($A946="","",SUM(D946:H946))</f>
        <v/>
      </c>
    </row>
    <row r="947" ht="15" customHeight="1" s="71">
      <c r="A947" s="87" t="n"/>
      <c r="B947" s="91" t="n"/>
      <c r="C947" s="89">
        <f>IF(OR($A947="",$B947=""),"",IFERROR(VLOOKUP($B947,Employés!$A:$B,2,0),""))</f>
        <v/>
      </c>
      <c r="D947" s="93" t="n"/>
      <c r="E947" s="93" t="n"/>
      <c r="F947" s="93" t="n"/>
      <c r="G947" s="93" t="n"/>
      <c r="H947" s="93" t="n"/>
      <c r="I947" s="105">
        <f>IF($A947="","",SUM(D947:H947))</f>
        <v/>
      </c>
    </row>
    <row r="948" ht="15" customHeight="1" s="71">
      <c r="A948" s="87" t="n"/>
      <c r="B948" s="91" t="n"/>
      <c r="C948" s="89">
        <f>IF(OR($A948="",$B948=""),"",IFERROR(VLOOKUP($B948,Employés!$A:$B,2,0),""))</f>
        <v/>
      </c>
      <c r="D948" s="93" t="n"/>
      <c r="E948" s="93" t="n"/>
      <c r="F948" s="93" t="n"/>
      <c r="G948" s="93" t="n"/>
      <c r="H948" s="93" t="n"/>
      <c r="I948" s="105">
        <f>IF($A948="","",SUM(D948:H948))</f>
        <v/>
      </c>
    </row>
    <row r="949" ht="15" customHeight="1" s="71">
      <c r="A949" s="87" t="n"/>
      <c r="B949" s="91" t="n"/>
      <c r="C949" s="89">
        <f>IF(OR($A949="",$B949=""),"",IFERROR(VLOOKUP($B949,Employés!$A:$B,2,0),""))</f>
        <v/>
      </c>
      <c r="D949" s="93" t="n"/>
      <c r="E949" s="93" t="n"/>
      <c r="F949" s="93" t="n"/>
      <c r="G949" s="93" t="n"/>
      <c r="H949" s="93" t="n"/>
      <c r="I949" s="105">
        <f>IF($A949="","",SUM(D949:H949))</f>
        <v/>
      </c>
    </row>
    <row r="950" ht="15" customHeight="1" s="71">
      <c r="A950" s="87" t="n"/>
      <c r="B950" s="91" t="n"/>
      <c r="C950" s="89">
        <f>IF(OR($A950="",$B950=""),"",IFERROR(VLOOKUP($B950,Employés!$A:$B,2,0),""))</f>
        <v/>
      </c>
      <c r="D950" s="93" t="n"/>
      <c r="E950" s="93" t="n"/>
      <c r="F950" s="93" t="n"/>
      <c r="G950" s="93" t="n"/>
      <c r="H950" s="93" t="n"/>
      <c r="I950" s="105">
        <f>IF($A950="","",SUM(D950:H950))</f>
        <v/>
      </c>
    </row>
    <row r="951" ht="15" customHeight="1" s="71">
      <c r="A951" s="87" t="n"/>
      <c r="B951" s="91" t="n"/>
      <c r="C951" s="89">
        <f>IF(OR($A951="",$B951=""),"",IFERROR(VLOOKUP($B951,Employés!$A:$B,2,0),""))</f>
        <v/>
      </c>
      <c r="D951" s="93" t="n"/>
      <c r="E951" s="93" t="n"/>
      <c r="F951" s="93" t="n"/>
      <c r="G951" s="93" t="n"/>
      <c r="H951" s="93" t="n"/>
      <c r="I951" s="105">
        <f>IF($A951="","",SUM(D951:H951))</f>
        <v/>
      </c>
    </row>
    <row r="952" ht="15" customHeight="1" s="71">
      <c r="A952" s="87" t="n"/>
      <c r="B952" s="91" t="n"/>
      <c r="C952" s="89">
        <f>IF(OR($A952="",$B952=""),"",IFERROR(VLOOKUP($B952,Employés!$A:$B,2,0),""))</f>
        <v/>
      </c>
      <c r="D952" s="93" t="n"/>
      <c r="E952" s="93" t="n"/>
      <c r="F952" s="93" t="n"/>
      <c r="G952" s="93" t="n"/>
      <c r="H952" s="93" t="n"/>
      <c r="I952" s="105">
        <f>IF($A952="","",SUM(D952:H952))</f>
        <v/>
      </c>
    </row>
    <row r="953" ht="15" customHeight="1" s="71">
      <c r="A953" s="87" t="n"/>
      <c r="B953" s="91" t="n"/>
      <c r="C953" s="89">
        <f>IF(OR($A953="",$B953=""),"",IFERROR(VLOOKUP($B953,Employés!$A:$B,2,0),""))</f>
        <v/>
      </c>
      <c r="D953" s="93" t="n"/>
      <c r="E953" s="93" t="n"/>
      <c r="F953" s="93" t="n"/>
      <c r="G953" s="93" t="n"/>
      <c r="H953" s="93" t="n"/>
      <c r="I953" s="105">
        <f>IF($A953="","",SUM(D953:H953))</f>
        <v/>
      </c>
    </row>
    <row r="954" ht="15" customHeight="1" s="71">
      <c r="A954" s="87" t="n"/>
      <c r="B954" s="91" t="n"/>
      <c r="C954" s="89">
        <f>IF(OR($A954="",$B954=""),"",IFERROR(VLOOKUP($B954,Employés!$A:$B,2,0),""))</f>
        <v/>
      </c>
      <c r="D954" s="93" t="n"/>
      <c r="E954" s="93" t="n"/>
      <c r="F954" s="93" t="n"/>
      <c r="G954" s="93" t="n"/>
      <c r="H954" s="93" t="n"/>
      <c r="I954" s="105">
        <f>IF($A954="","",SUM(D954:H954))</f>
        <v/>
      </c>
    </row>
    <row r="955" ht="15" customHeight="1" s="71">
      <c r="A955" s="87" t="n"/>
      <c r="B955" s="91" t="n"/>
      <c r="C955" s="89">
        <f>IF(OR($A955="",$B955=""),"",IFERROR(VLOOKUP($B955,Employés!$A:$B,2,0),""))</f>
        <v/>
      </c>
      <c r="D955" s="93" t="n"/>
      <c r="E955" s="93" t="n"/>
      <c r="F955" s="93" t="n"/>
      <c r="G955" s="93" t="n"/>
      <c r="H955" s="93" t="n"/>
      <c r="I955" s="105">
        <f>IF($A955="","",SUM(D955:H955))</f>
        <v/>
      </c>
    </row>
    <row r="956" ht="15" customHeight="1" s="71">
      <c r="A956" s="87" t="n"/>
      <c r="B956" s="91" t="n"/>
      <c r="C956" s="89">
        <f>IF(OR($A956="",$B956=""),"",IFERROR(VLOOKUP($B956,Employés!$A:$B,2,0),""))</f>
        <v/>
      </c>
      <c r="D956" s="93" t="n"/>
      <c r="E956" s="93" t="n"/>
      <c r="F956" s="93" t="n"/>
      <c r="G956" s="93" t="n"/>
      <c r="H956" s="93" t="n"/>
      <c r="I956" s="105">
        <f>IF($A956="","",SUM(D956:H956))</f>
        <v/>
      </c>
    </row>
    <row r="957" ht="15" customHeight="1" s="71">
      <c r="A957" s="87" t="n"/>
      <c r="B957" s="91" t="n"/>
      <c r="C957" s="89">
        <f>IF(OR($A957="",$B957=""),"",IFERROR(VLOOKUP($B957,Employés!$A:$B,2,0),""))</f>
        <v/>
      </c>
      <c r="D957" s="93" t="n"/>
      <c r="E957" s="93" t="n"/>
      <c r="F957" s="93" t="n"/>
      <c r="G957" s="93" t="n"/>
      <c r="H957" s="93" t="n"/>
      <c r="I957" s="105">
        <f>IF($A957="","",SUM(D957:H957))</f>
        <v/>
      </c>
    </row>
    <row r="958" ht="15" customHeight="1" s="71">
      <c r="A958" s="87" t="n"/>
      <c r="B958" s="91" t="n"/>
      <c r="C958" s="89">
        <f>IF(OR($A958="",$B958=""),"",IFERROR(VLOOKUP($B958,Employés!$A:$B,2,0),""))</f>
        <v/>
      </c>
      <c r="D958" s="93" t="n"/>
      <c r="E958" s="93" t="n"/>
      <c r="F958" s="93" t="n"/>
      <c r="G958" s="93" t="n"/>
      <c r="H958" s="93" t="n"/>
      <c r="I958" s="105">
        <f>IF($A958="","",SUM(D958:H958))</f>
        <v/>
      </c>
    </row>
    <row r="959" ht="15" customHeight="1" s="71">
      <c r="A959" s="87" t="n"/>
      <c r="B959" s="91" t="n"/>
      <c r="C959" s="89">
        <f>IF(OR($A959="",$B959=""),"",IFERROR(VLOOKUP($B959,Employés!$A:$B,2,0),""))</f>
        <v/>
      </c>
      <c r="D959" s="93" t="n"/>
      <c r="E959" s="93" t="n"/>
      <c r="F959" s="93" t="n"/>
      <c r="G959" s="93" t="n"/>
      <c r="H959" s="93" t="n"/>
      <c r="I959" s="105">
        <f>IF($A959="","",SUM(D959:H959))</f>
        <v/>
      </c>
    </row>
    <row r="960" ht="15" customHeight="1" s="71">
      <c r="A960" s="87" t="n"/>
      <c r="B960" s="91" t="n"/>
      <c r="C960" s="89">
        <f>IF(OR($A960="",$B960=""),"",IFERROR(VLOOKUP($B960,Employés!$A:$B,2,0),""))</f>
        <v/>
      </c>
      <c r="D960" s="93" t="n"/>
      <c r="E960" s="93" t="n"/>
      <c r="F960" s="93" t="n"/>
      <c r="G960" s="93" t="n"/>
      <c r="H960" s="93" t="n"/>
      <c r="I960" s="105">
        <f>IF($A960="","",SUM(D960:H960))</f>
        <v/>
      </c>
    </row>
    <row r="961" ht="15" customHeight="1" s="71">
      <c r="A961" s="87" t="n"/>
      <c r="B961" s="91" t="n"/>
      <c r="C961" s="89">
        <f>IF(OR($A961="",$B961=""),"",IFERROR(VLOOKUP($B961,Employés!$A:$B,2,0),""))</f>
        <v/>
      </c>
      <c r="D961" s="93" t="n"/>
      <c r="E961" s="93" t="n"/>
      <c r="F961" s="93" t="n"/>
      <c r="G961" s="93" t="n"/>
      <c r="H961" s="93" t="n"/>
      <c r="I961" s="105">
        <f>IF($A961="","",SUM(D961:H961))</f>
        <v/>
      </c>
    </row>
    <row r="962" ht="15" customHeight="1" s="71">
      <c r="A962" s="87" t="n"/>
      <c r="B962" s="91" t="n"/>
      <c r="C962" s="89">
        <f>IF(OR($A962="",$B962=""),"",IFERROR(VLOOKUP($B962,Employés!$A:$B,2,0),""))</f>
        <v/>
      </c>
      <c r="D962" s="93" t="n"/>
      <c r="E962" s="93" t="n"/>
      <c r="F962" s="93" t="n"/>
      <c r="G962" s="93" t="n"/>
      <c r="H962" s="93" t="n"/>
      <c r="I962" s="105">
        <f>IF($A962="","",SUM(D962:H962))</f>
        <v/>
      </c>
    </row>
    <row r="963" ht="15" customHeight="1" s="71">
      <c r="A963" s="87" t="n"/>
      <c r="B963" s="91" t="n"/>
      <c r="C963" s="89">
        <f>IF(OR($A963="",$B963=""),"",IFERROR(VLOOKUP($B963,Employés!$A:$B,2,0),""))</f>
        <v/>
      </c>
      <c r="D963" s="93" t="n"/>
      <c r="E963" s="93" t="n"/>
      <c r="F963" s="93" t="n"/>
      <c r="G963" s="93" t="n"/>
      <c r="H963" s="93" t="n"/>
      <c r="I963" s="105">
        <f>IF($A963="","",SUM(D963:H963))</f>
        <v/>
      </c>
    </row>
    <row r="964" ht="15" customHeight="1" s="71">
      <c r="A964" s="87" t="n"/>
      <c r="B964" s="91" t="n"/>
      <c r="C964" s="89">
        <f>IF(OR($A964="",$B964=""),"",IFERROR(VLOOKUP($B964,Employés!$A:$B,2,0),""))</f>
        <v/>
      </c>
      <c r="D964" s="93" t="n"/>
      <c r="E964" s="93" t="n"/>
      <c r="F964" s="93" t="n"/>
      <c r="G964" s="93" t="n"/>
      <c r="H964" s="93" t="n"/>
      <c r="I964" s="105">
        <f>IF($A964="","",SUM(D964:H964))</f>
        <v/>
      </c>
    </row>
    <row r="965" ht="15" customHeight="1" s="71">
      <c r="A965" s="87" t="n"/>
      <c r="B965" s="91" t="n"/>
      <c r="C965" s="89">
        <f>IF(OR($A965="",$B965=""),"",IFERROR(VLOOKUP($B965,Employés!$A:$B,2,0),""))</f>
        <v/>
      </c>
      <c r="D965" s="93" t="n"/>
      <c r="E965" s="93" t="n"/>
      <c r="F965" s="93" t="n"/>
      <c r="G965" s="93" t="n"/>
      <c r="H965" s="93" t="n"/>
      <c r="I965" s="105">
        <f>IF($A965="","",SUM(D965:H965))</f>
        <v/>
      </c>
    </row>
    <row r="966" ht="15" customHeight="1" s="71">
      <c r="A966" s="87" t="n"/>
      <c r="B966" s="91" t="n"/>
      <c r="C966" s="89">
        <f>IF(OR($A966="",$B966=""),"",IFERROR(VLOOKUP($B966,Employés!$A:$B,2,0),""))</f>
        <v/>
      </c>
      <c r="D966" s="93" t="n"/>
      <c r="E966" s="93" t="n"/>
      <c r="F966" s="93" t="n"/>
      <c r="G966" s="93" t="n"/>
      <c r="H966" s="93" t="n"/>
      <c r="I966" s="105">
        <f>IF($A966="","",SUM(D966:H966))</f>
        <v/>
      </c>
    </row>
    <row r="967" ht="15" customHeight="1" s="71">
      <c r="A967" s="87" t="n"/>
      <c r="B967" s="91" t="n"/>
      <c r="C967" s="89">
        <f>IF(OR($A967="",$B967=""),"",IFERROR(VLOOKUP($B967,Employés!$A:$B,2,0),""))</f>
        <v/>
      </c>
      <c r="D967" s="93" t="n"/>
      <c r="E967" s="93" t="n"/>
      <c r="F967" s="93" t="n"/>
      <c r="G967" s="93" t="n"/>
      <c r="H967" s="93" t="n"/>
      <c r="I967" s="105">
        <f>IF($A967="","",SUM(D967:H967))</f>
        <v/>
      </c>
    </row>
    <row r="968" ht="15" customHeight="1" s="71">
      <c r="A968" s="87" t="n"/>
      <c r="B968" s="91" t="n"/>
      <c r="C968" s="89">
        <f>IF(OR($A968="",$B968=""),"",IFERROR(VLOOKUP($B968,Employés!$A:$B,2,0),""))</f>
        <v/>
      </c>
      <c r="D968" s="93" t="n"/>
      <c r="E968" s="93" t="n"/>
      <c r="F968" s="93" t="n"/>
      <c r="G968" s="93" t="n"/>
      <c r="H968" s="93" t="n"/>
      <c r="I968" s="105">
        <f>IF($A968="","",SUM(D968:H968))</f>
        <v/>
      </c>
    </row>
    <row r="969" ht="15" customHeight="1" s="71">
      <c r="A969" s="87" t="n"/>
      <c r="B969" s="91" t="n"/>
      <c r="C969" s="89">
        <f>IF(OR($A969="",$B969=""),"",IFERROR(VLOOKUP($B969,Employés!$A:$B,2,0),""))</f>
        <v/>
      </c>
      <c r="D969" s="93" t="n"/>
      <c r="E969" s="93" t="n"/>
      <c r="F969" s="93" t="n"/>
      <c r="G969" s="93" t="n"/>
      <c r="H969" s="93" t="n"/>
      <c r="I969" s="105">
        <f>IF($A969="","",SUM(D969:H969))</f>
        <v/>
      </c>
    </row>
    <row r="970" ht="15" customHeight="1" s="71">
      <c r="A970" s="87" t="n"/>
      <c r="B970" s="91" t="n"/>
      <c r="C970" s="89">
        <f>IF(OR($A970="",$B970=""),"",IFERROR(VLOOKUP($B970,Employés!$A:$B,2,0),""))</f>
        <v/>
      </c>
      <c r="D970" s="93" t="n"/>
      <c r="E970" s="93" t="n"/>
      <c r="F970" s="93" t="n"/>
      <c r="G970" s="93" t="n"/>
      <c r="H970" s="93" t="n"/>
      <c r="I970" s="105">
        <f>IF($A970="","",SUM(D970:H970))</f>
        <v/>
      </c>
    </row>
    <row r="971" ht="15" customHeight="1" s="71">
      <c r="A971" s="87" t="n"/>
      <c r="B971" s="91" t="n"/>
      <c r="C971" s="89">
        <f>IF(OR($A971="",$B971=""),"",IFERROR(VLOOKUP($B971,Employés!$A:$B,2,0),""))</f>
        <v/>
      </c>
      <c r="D971" s="93" t="n"/>
      <c r="E971" s="93" t="n"/>
      <c r="F971" s="93" t="n"/>
      <c r="G971" s="93" t="n"/>
      <c r="H971" s="93" t="n"/>
      <c r="I971" s="105">
        <f>IF($A971="","",SUM(D971:H971))</f>
        <v/>
      </c>
    </row>
    <row r="972" ht="15" customHeight="1" s="71">
      <c r="A972" s="87" t="n"/>
      <c r="B972" s="91" t="n"/>
      <c r="C972" s="89">
        <f>IF(OR($A972="",$B972=""),"",IFERROR(VLOOKUP($B972,Employés!$A:$B,2,0),""))</f>
        <v/>
      </c>
      <c r="D972" s="93" t="n"/>
      <c r="E972" s="93" t="n"/>
      <c r="F972" s="93" t="n"/>
      <c r="G972" s="93" t="n"/>
      <c r="H972" s="93" t="n"/>
      <c r="I972" s="105">
        <f>IF($A972="","",SUM(D972:H972))</f>
        <v/>
      </c>
    </row>
    <row r="973" ht="15" customHeight="1" s="71">
      <c r="A973" s="87" t="n"/>
      <c r="B973" s="91" t="n"/>
      <c r="C973" s="89">
        <f>IF(OR($A973="",$B973=""),"",IFERROR(VLOOKUP($B973,Employés!$A:$B,2,0),""))</f>
        <v/>
      </c>
      <c r="D973" s="93" t="n"/>
      <c r="E973" s="93" t="n"/>
      <c r="F973" s="93" t="n"/>
      <c r="G973" s="93" t="n"/>
      <c r="H973" s="93" t="n"/>
      <c r="I973" s="105">
        <f>IF($A973="","",SUM(D973:H973))</f>
        <v/>
      </c>
    </row>
    <row r="974" ht="15" customHeight="1" s="71">
      <c r="A974" s="87" t="n"/>
      <c r="B974" s="91" t="n"/>
      <c r="C974" s="89">
        <f>IF(OR($A974="",$B974=""),"",IFERROR(VLOOKUP($B974,Employés!$A:$B,2,0),""))</f>
        <v/>
      </c>
      <c r="D974" s="93" t="n"/>
      <c r="E974" s="93" t="n"/>
      <c r="F974" s="93" t="n"/>
      <c r="G974" s="93" t="n"/>
      <c r="H974" s="93" t="n"/>
      <c r="I974" s="105">
        <f>IF($A974="","",SUM(D974:H974))</f>
        <v/>
      </c>
    </row>
    <row r="975" ht="15" customHeight="1" s="71">
      <c r="A975" s="87" t="n"/>
      <c r="B975" s="91" t="n"/>
      <c r="C975" s="89">
        <f>IF(OR($A975="",$B975=""),"",IFERROR(VLOOKUP($B975,Employés!$A:$B,2,0),""))</f>
        <v/>
      </c>
      <c r="D975" s="93" t="n"/>
      <c r="E975" s="93" t="n"/>
      <c r="F975" s="93" t="n"/>
      <c r="G975" s="93" t="n"/>
      <c r="H975" s="93" t="n"/>
      <c r="I975" s="105">
        <f>IF($A975="","",SUM(D975:H975))</f>
        <v/>
      </c>
    </row>
    <row r="976" ht="15" customHeight="1" s="71">
      <c r="A976" s="87" t="n"/>
      <c r="B976" s="91" t="n"/>
      <c r="C976" s="89">
        <f>IF(OR($A976="",$B976=""),"",IFERROR(VLOOKUP($B976,Employés!$A:$B,2,0),""))</f>
        <v/>
      </c>
      <c r="D976" s="93" t="n"/>
      <c r="E976" s="93" t="n"/>
      <c r="F976" s="93" t="n"/>
      <c r="G976" s="93" t="n"/>
      <c r="H976" s="93" t="n"/>
      <c r="I976" s="105">
        <f>IF($A976="","",SUM(D976:H976))</f>
        <v/>
      </c>
    </row>
    <row r="977" ht="15" customHeight="1" s="71">
      <c r="A977" s="87" t="n"/>
      <c r="B977" s="91" t="n"/>
      <c r="C977" s="89">
        <f>IF(OR($A977="",$B977=""),"",IFERROR(VLOOKUP($B977,Employés!$A:$B,2,0),""))</f>
        <v/>
      </c>
      <c r="D977" s="93" t="n"/>
      <c r="E977" s="93" t="n"/>
      <c r="F977" s="93" t="n"/>
      <c r="G977" s="93" t="n"/>
      <c r="H977" s="93" t="n"/>
      <c r="I977" s="105">
        <f>IF($A977="","",SUM(D977:H977))</f>
        <v/>
      </c>
    </row>
    <row r="978" ht="15" customHeight="1" s="71">
      <c r="A978" s="87" t="n"/>
      <c r="B978" s="91" t="n"/>
      <c r="C978" s="89">
        <f>IF(OR($A978="",$B978=""),"",IFERROR(VLOOKUP($B978,Employés!$A:$B,2,0),""))</f>
        <v/>
      </c>
      <c r="D978" s="93" t="n"/>
      <c r="E978" s="93" t="n"/>
      <c r="F978" s="93" t="n"/>
      <c r="G978" s="93" t="n"/>
      <c r="H978" s="93" t="n"/>
      <c r="I978" s="105">
        <f>IF($A978="","",SUM(D978:H978))</f>
        <v/>
      </c>
    </row>
    <row r="979" ht="15" customHeight="1" s="71">
      <c r="A979" s="87" t="n"/>
      <c r="B979" s="91" t="n"/>
      <c r="C979" s="89">
        <f>IF(OR($A979="",$B979=""),"",IFERROR(VLOOKUP($B979,Employés!$A:$B,2,0),""))</f>
        <v/>
      </c>
      <c r="D979" s="93" t="n"/>
      <c r="E979" s="93" t="n"/>
      <c r="F979" s="93" t="n"/>
      <c r="G979" s="93" t="n"/>
      <c r="H979" s="93" t="n"/>
      <c r="I979" s="105">
        <f>IF($A979="","",SUM(D979:H979))</f>
        <v/>
      </c>
    </row>
    <row r="980" ht="15" customHeight="1" s="71">
      <c r="A980" s="87" t="n"/>
      <c r="B980" s="91" t="n"/>
      <c r="C980" s="89">
        <f>IF(OR($A980="",$B980=""),"",IFERROR(VLOOKUP($B980,Employés!$A:$B,2,0),""))</f>
        <v/>
      </c>
      <c r="D980" s="93" t="n"/>
      <c r="E980" s="93" t="n"/>
      <c r="F980" s="93" t="n"/>
      <c r="G980" s="93" t="n"/>
      <c r="H980" s="93" t="n"/>
      <c r="I980" s="105">
        <f>IF($A980="","",SUM(D980:H980))</f>
        <v/>
      </c>
    </row>
    <row r="981" ht="15" customHeight="1" s="71">
      <c r="A981" s="87" t="n"/>
      <c r="B981" s="91" t="n"/>
      <c r="C981" s="89">
        <f>IF(OR($A981="",$B981=""),"",IFERROR(VLOOKUP($B981,Employés!$A:$B,2,0),""))</f>
        <v/>
      </c>
      <c r="D981" s="93" t="n"/>
      <c r="E981" s="93" t="n"/>
      <c r="F981" s="93" t="n"/>
      <c r="G981" s="93" t="n"/>
      <c r="H981" s="93" t="n"/>
      <c r="I981" s="105">
        <f>IF($A981="","",SUM(D981:H981))</f>
        <v/>
      </c>
    </row>
    <row r="982" ht="15" customHeight="1" s="71">
      <c r="A982" s="87" t="n"/>
      <c r="B982" s="91" t="n"/>
      <c r="C982" s="89">
        <f>IF(OR($A982="",$B982=""),"",IFERROR(VLOOKUP($B982,Employés!$A:$B,2,0),""))</f>
        <v/>
      </c>
      <c r="D982" s="93" t="n"/>
      <c r="E982" s="93" t="n"/>
      <c r="F982" s="93" t="n"/>
      <c r="G982" s="93" t="n"/>
      <c r="H982" s="93" t="n"/>
      <c r="I982" s="105">
        <f>IF($A982="","",SUM(D982:H982))</f>
        <v/>
      </c>
    </row>
    <row r="983" ht="15" customHeight="1" s="71">
      <c r="A983" s="87" t="n"/>
      <c r="B983" s="91" t="n"/>
      <c r="C983" s="89">
        <f>IF(OR($A983="",$B983=""),"",IFERROR(VLOOKUP($B983,Employés!$A:$B,2,0),""))</f>
        <v/>
      </c>
      <c r="D983" s="93" t="n"/>
      <c r="E983" s="93" t="n"/>
      <c r="F983" s="93" t="n"/>
      <c r="G983" s="93" t="n"/>
      <c r="H983" s="93" t="n"/>
      <c r="I983" s="105">
        <f>IF($A983="","",SUM(D983:H983))</f>
        <v/>
      </c>
    </row>
    <row r="984" ht="15" customHeight="1" s="71">
      <c r="A984" s="87" t="n"/>
      <c r="B984" s="91" t="n"/>
      <c r="C984" s="89">
        <f>IF(OR($A984="",$B984=""),"",IFERROR(VLOOKUP($B984,Employés!$A:$B,2,0),""))</f>
        <v/>
      </c>
      <c r="D984" s="93" t="n"/>
      <c r="E984" s="93" t="n"/>
      <c r="F984" s="93" t="n"/>
      <c r="G984" s="93" t="n"/>
      <c r="H984" s="93" t="n"/>
      <c r="I984" s="105">
        <f>IF($A984="","",SUM(D984:H984))</f>
        <v/>
      </c>
    </row>
    <row r="985" ht="15" customHeight="1" s="71">
      <c r="A985" s="87" t="n"/>
      <c r="B985" s="91" t="n"/>
      <c r="C985" s="89">
        <f>IF(OR($A985="",$B985=""),"",IFERROR(VLOOKUP($B985,Employés!$A:$B,2,0),""))</f>
        <v/>
      </c>
      <c r="D985" s="93" t="n"/>
      <c r="E985" s="93" t="n"/>
      <c r="F985" s="93" t="n"/>
      <c r="G985" s="93" t="n"/>
      <c r="H985" s="93" t="n"/>
      <c r="I985" s="105">
        <f>IF($A985="","",SUM(D985:H985))</f>
        <v/>
      </c>
    </row>
    <row r="986" ht="15" customHeight="1" s="71">
      <c r="A986" s="87" t="n"/>
      <c r="B986" s="91" t="n"/>
      <c r="C986" s="89">
        <f>IF(OR($A986="",$B986=""),"",IFERROR(VLOOKUP($B986,Employés!$A:$B,2,0),""))</f>
        <v/>
      </c>
      <c r="D986" s="93" t="n"/>
      <c r="E986" s="93" t="n"/>
      <c r="F986" s="93" t="n"/>
      <c r="G986" s="93" t="n"/>
      <c r="H986" s="93" t="n"/>
      <c r="I986" s="105">
        <f>IF($A986="","",SUM(D986:H986))</f>
        <v/>
      </c>
    </row>
    <row r="987" ht="15" customHeight="1" s="71">
      <c r="A987" s="87" t="n"/>
      <c r="B987" s="91" t="n"/>
      <c r="C987" s="89">
        <f>IF(OR($A987="",$B987=""),"",IFERROR(VLOOKUP($B987,Employés!$A:$B,2,0),""))</f>
        <v/>
      </c>
      <c r="D987" s="93" t="n"/>
      <c r="E987" s="93" t="n"/>
      <c r="F987" s="93" t="n"/>
      <c r="G987" s="93" t="n"/>
      <c r="H987" s="93" t="n"/>
      <c r="I987" s="105">
        <f>IF($A987="","",SUM(D987:H987))</f>
        <v/>
      </c>
    </row>
    <row r="988" ht="15" customHeight="1" s="71">
      <c r="A988" s="87" t="n"/>
      <c r="B988" s="91" t="n"/>
      <c r="C988" s="89">
        <f>IF(OR($A988="",$B988=""),"",IFERROR(VLOOKUP($B988,Employés!$A:$B,2,0),""))</f>
        <v/>
      </c>
      <c r="D988" s="93" t="n"/>
      <c r="E988" s="93" t="n"/>
      <c r="F988" s="93" t="n"/>
      <c r="G988" s="93" t="n"/>
      <c r="H988" s="93" t="n"/>
      <c r="I988" s="105">
        <f>IF($A988="","",SUM(D988:H988))</f>
        <v/>
      </c>
    </row>
    <row r="989" ht="15" customHeight="1" s="71">
      <c r="A989" s="87" t="n"/>
      <c r="B989" s="91" t="n"/>
      <c r="C989" s="89">
        <f>IF(OR($A989="",$B989=""),"",IFERROR(VLOOKUP($B989,Employés!$A:$B,2,0),""))</f>
        <v/>
      </c>
      <c r="D989" s="93" t="n"/>
      <c r="E989" s="93" t="n"/>
      <c r="F989" s="93" t="n"/>
      <c r="G989" s="93" t="n"/>
      <c r="H989" s="93" t="n"/>
      <c r="I989" s="105">
        <f>IF($A989="","",SUM(D989:H989))</f>
        <v/>
      </c>
    </row>
    <row r="990" ht="15" customHeight="1" s="71">
      <c r="A990" s="87" t="n"/>
      <c r="B990" s="91" t="n"/>
      <c r="C990" s="89">
        <f>IF(OR($A990="",$B990=""),"",IFERROR(VLOOKUP($B990,Employés!$A:$B,2,0),""))</f>
        <v/>
      </c>
      <c r="D990" s="93" t="n"/>
      <c r="E990" s="93" t="n"/>
      <c r="F990" s="93" t="n"/>
      <c r="G990" s="93" t="n"/>
      <c r="H990" s="93" t="n"/>
      <c r="I990" s="105">
        <f>IF($A990="","",SUM(D990:H990))</f>
        <v/>
      </c>
    </row>
    <row r="991" ht="15" customHeight="1" s="71">
      <c r="A991" s="87" t="n"/>
      <c r="B991" s="91" t="n"/>
      <c r="C991" s="89">
        <f>IF(OR($A991="",$B991=""),"",IFERROR(VLOOKUP($B991,Employés!$A:$B,2,0),""))</f>
        <v/>
      </c>
      <c r="D991" s="93" t="n"/>
      <c r="E991" s="93" t="n"/>
      <c r="F991" s="93" t="n"/>
      <c r="G991" s="93" t="n"/>
      <c r="H991" s="93" t="n"/>
      <c r="I991" s="105">
        <f>IF($A991="","",SUM(D991:H991))</f>
        <v/>
      </c>
    </row>
    <row r="992" ht="15" customHeight="1" s="71">
      <c r="A992" s="87" t="n"/>
      <c r="B992" s="91" t="n"/>
      <c r="C992" s="89">
        <f>IF(OR($A992="",$B992=""),"",IFERROR(VLOOKUP($B992,Employés!$A:$B,2,0),""))</f>
        <v/>
      </c>
      <c r="D992" s="93" t="n"/>
      <c r="E992" s="93" t="n"/>
      <c r="F992" s="93" t="n"/>
      <c r="G992" s="93" t="n"/>
      <c r="H992" s="93" t="n"/>
      <c r="I992" s="105">
        <f>IF($A992="","",SUM(D992:H992))</f>
        <v/>
      </c>
    </row>
    <row r="993" ht="15" customHeight="1" s="71">
      <c r="A993" s="87" t="n"/>
      <c r="B993" s="91" t="n"/>
      <c r="C993" s="89">
        <f>IF(OR($A993="",$B993=""),"",IFERROR(VLOOKUP($B993,Employés!$A:$B,2,0),""))</f>
        <v/>
      </c>
      <c r="D993" s="93" t="n"/>
      <c r="E993" s="93" t="n"/>
      <c r="F993" s="93" t="n"/>
      <c r="G993" s="93" t="n"/>
      <c r="H993" s="93" t="n"/>
      <c r="I993" s="105">
        <f>IF($A993="","",SUM(D993:H993))</f>
        <v/>
      </c>
    </row>
    <row r="994" ht="15" customHeight="1" s="71">
      <c r="A994" s="87" t="n"/>
      <c r="B994" s="91" t="n"/>
      <c r="C994" s="89">
        <f>IF(OR($A994="",$B994=""),"",IFERROR(VLOOKUP($B994,Employés!$A:$B,2,0),""))</f>
        <v/>
      </c>
      <c r="D994" s="93" t="n"/>
      <c r="E994" s="93" t="n"/>
      <c r="F994" s="93" t="n"/>
      <c r="G994" s="93" t="n"/>
      <c r="H994" s="93" t="n"/>
      <c r="I994" s="105">
        <f>IF($A994="","",SUM(D994:H994))</f>
        <v/>
      </c>
    </row>
    <row r="995" ht="15" customHeight="1" s="71">
      <c r="A995" s="87" t="n"/>
      <c r="B995" s="91" t="n"/>
      <c r="C995" s="89">
        <f>IF(OR($A995="",$B995=""),"",IFERROR(VLOOKUP($B995,Employés!$A:$B,2,0),""))</f>
        <v/>
      </c>
      <c r="D995" s="93" t="n"/>
      <c r="E995" s="93" t="n"/>
      <c r="F995" s="93" t="n"/>
      <c r="G995" s="93" t="n"/>
      <c r="H995" s="93" t="n"/>
      <c r="I995" s="105">
        <f>IF($A995="","",SUM(D995:H995))</f>
        <v/>
      </c>
    </row>
    <row r="996" ht="15" customHeight="1" s="71">
      <c r="A996" s="87" t="n"/>
      <c r="B996" s="91" t="n"/>
      <c r="C996" s="89">
        <f>IF(OR($A996="",$B996=""),"",IFERROR(VLOOKUP($B996,Employés!$A:$B,2,0),""))</f>
        <v/>
      </c>
      <c r="D996" s="93" t="n"/>
      <c r="E996" s="93" t="n"/>
      <c r="F996" s="93" t="n"/>
      <c r="G996" s="93" t="n"/>
      <c r="H996" s="93" t="n"/>
      <c r="I996" s="105">
        <f>IF($A996="","",SUM(D996:H996))</f>
        <v/>
      </c>
    </row>
    <row r="997" ht="15" customHeight="1" s="71">
      <c r="A997" s="87" t="n"/>
      <c r="B997" s="91" t="n"/>
      <c r="C997" s="89">
        <f>IF(OR($A997="",$B997=""),"",IFERROR(VLOOKUP($B997,Employés!$A:$B,2,0),""))</f>
        <v/>
      </c>
      <c r="D997" s="93" t="n"/>
      <c r="E997" s="93" t="n"/>
      <c r="F997" s="93" t="n"/>
      <c r="G997" s="93" t="n"/>
      <c r="H997" s="93" t="n"/>
      <c r="I997" s="105">
        <f>IF($A997="","",SUM(D997:H997))</f>
        <v/>
      </c>
    </row>
    <row r="998" ht="15" customHeight="1" s="71">
      <c r="A998" s="87" t="n"/>
      <c r="B998" s="91" t="n"/>
      <c r="C998" s="89">
        <f>IF(OR($A998="",$B998=""),"",IFERROR(VLOOKUP($B998,Employés!$A:$B,2,0),""))</f>
        <v/>
      </c>
      <c r="D998" s="93" t="n"/>
      <c r="E998" s="93" t="n"/>
      <c r="F998" s="93" t="n"/>
      <c r="G998" s="93" t="n"/>
      <c r="H998" s="93" t="n"/>
      <c r="I998" s="105">
        <f>IF($A998="","",SUM(D998:H998))</f>
        <v/>
      </c>
    </row>
    <row r="999" ht="15" customHeight="1" s="71">
      <c r="A999" s="87" t="n"/>
      <c r="B999" s="91" t="n"/>
      <c r="C999" s="89">
        <f>IF(OR($A999="",$B999=""),"",IFERROR(VLOOKUP($B999,Employés!$A:$B,2,0),""))</f>
        <v/>
      </c>
      <c r="D999" s="93" t="n"/>
      <c r="E999" s="93" t="n"/>
      <c r="F999" s="93" t="n"/>
      <c r="G999" s="93" t="n"/>
      <c r="H999" s="93" t="n"/>
      <c r="I999" s="105">
        <f>IF($A999="","",SUM(D999:H999))</f>
        <v/>
      </c>
    </row>
    <row r="1000" ht="15" customHeight="1" s="71">
      <c r="A1000" s="87" t="n"/>
      <c r="B1000" s="91" t="n"/>
      <c r="C1000" s="89">
        <f>IF(OR($A1000="",$B1000=""),"",IFERROR(VLOOKUP($B1000,Employés!$A:$B,2,0),""))</f>
        <v/>
      </c>
      <c r="D1000" s="93" t="n"/>
      <c r="E1000" s="93" t="n"/>
      <c r="F1000" s="93" t="n"/>
      <c r="G1000" s="93" t="n"/>
      <c r="H1000" s="93" t="n"/>
      <c r="I1000" s="105">
        <f>IF($A1000="","",SUM(D1000:H1000))</f>
        <v/>
      </c>
    </row>
    <row r="1001" ht="15" customHeight="1" s="71">
      <c r="A1001" s="87" t="n"/>
      <c r="B1001" s="91" t="n"/>
      <c r="C1001" s="89">
        <f>IF(OR($A1001="",$B1001=""),"",IFERROR(VLOOKUP($B1001,Employés!$A:$B,2,0),""))</f>
        <v/>
      </c>
      <c r="D1001" s="93" t="n"/>
      <c r="E1001" s="93" t="n"/>
      <c r="F1001" s="93" t="n"/>
      <c r="G1001" s="93" t="n"/>
      <c r="H1001" s="93" t="n"/>
      <c r="I1001" s="105">
        <f>IF($A1001="","",SUM(D1001:H1001))</f>
        <v/>
      </c>
    </row>
    <row r="1002" ht="15" customHeight="1" s="71">
      <c r="A1002" s="87" t="n"/>
      <c r="B1002" s="91" t="n"/>
      <c r="C1002" s="89">
        <f>IF(OR($A1002="",$B1002=""),"",IFERROR(VLOOKUP($B1002,Employés!$A:$B,2,0),""))</f>
        <v/>
      </c>
      <c r="D1002" s="93" t="n"/>
      <c r="E1002" s="93" t="n"/>
      <c r="F1002" s="93" t="n"/>
      <c r="G1002" s="93" t="n"/>
      <c r="H1002" s="93" t="n"/>
      <c r="I1002" s="105">
        <f>IF($A1002="","",SUM(D1002:H1002))</f>
        <v/>
      </c>
    </row>
    <row r="1003" ht="15" customHeight="1" s="71">
      <c r="A1003" s="87" t="n"/>
      <c r="B1003" s="91" t="n"/>
      <c r="C1003" s="89">
        <f>IF(OR($A1003="",$B1003=""),"",IFERROR(VLOOKUP($B1003,Employés!$A:$B,2,0),""))</f>
        <v/>
      </c>
      <c r="D1003" s="93" t="n"/>
      <c r="E1003" s="93" t="n"/>
      <c r="F1003" s="93" t="n"/>
      <c r="G1003" s="93" t="n"/>
      <c r="H1003" s="93" t="n"/>
      <c r="I1003" s="105">
        <f>IF($A1003="","",SUM(D1003:H1003))</f>
        <v/>
      </c>
    </row>
    <row r="1004" ht="15" customHeight="1" s="71">
      <c r="A1004" s="87" t="n"/>
      <c r="B1004" s="91" t="n"/>
      <c r="C1004" s="89">
        <f>IF(OR($A1004="",$B1004=""),"",IFERROR(VLOOKUP($B1004,Employés!$A:$B,2,0),""))</f>
        <v/>
      </c>
      <c r="D1004" s="93" t="n"/>
      <c r="E1004" s="93" t="n"/>
      <c r="F1004" s="93" t="n"/>
      <c r="G1004" s="93" t="n"/>
      <c r="H1004" s="93" t="n"/>
      <c r="I1004" s="105">
        <f>IF($A1004="","",SUM(D1004:H1004))</f>
        <v/>
      </c>
    </row>
    <row r="1005" ht="15" customHeight="1" s="71">
      <c r="A1005" s="87" t="n"/>
      <c r="B1005" s="91" t="n"/>
      <c r="C1005" s="89">
        <f>IF(OR($A1005="",$B1005=""),"",IFERROR(VLOOKUP($B1005,Employés!$A:$B,2,0),""))</f>
        <v/>
      </c>
      <c r="D1005" s="93" t="n"/>
      <c r="E1005" s="93" t="n"/>
      <c r="F1005" s="93" t="n"/>
      <c r="G1005" s="93" t="n"/>
      <c r="H1005" s="93" t="n"/>
      <c r="I1005" s="105">
        <f>IF($A1005="","",SUM(D1005:H1005))</f>
        <v/>
      </c>
    </row>
    <row r="1006" ht="15" customHeight="1" s="71">
      <c r="A1006" s="87" t="n"/>
      <c r="B1006" s="91" t="n"/>
      <c r="C1006" s="89">
        <f>IF(OR($A1006="",$B1006=""),"",IFERROR(VLOOKUP($B1006,Employés!$A:$B,2,0),""))</f>
        <v/>
      </c>
      <c r="D1006" s="93" t="n"/>
      <c r="E1006" s="93" t="n"/>
      <c r="F1006" s="93" t="n"/>
      <c r="G1006" s="93" t="n"/>
      <c r="H1006" s="93" t="n"/>
      <c r="I1006" s="105">
        <f>IF($A1006="","",SUM(D1006:H1006))</f>
        <v/>
      </c>
    </row>
    <row r="1007" ht="15" customHeight="1" s="71">
      <c r="A1007" s="87" t="n"/>
      <c r="B1007" s="91" t="n"/>
      <c r="C1007" s="89">
        <f>IF(OR($A1007="",$B1007=""),"",IFERROR(VLOOKUP($B1007,Employés!$A:$B,2,0),""))</f>
        <v/>
      </c>
      <c r="D1007" s="93" t="n"/>
      <c r="E1007" s="93" t="n"/>
      <c r="F1007" s="93" t="n"/>
      <c r="G1007" s="93" t="n"/>
      <c r="H1007" s="93" t="n"/>
      <c r="I1007" s="105">
        <f>IF($A1007="","",SUM(D1007:H1007))</f>
        <v/>
      </c>
    </row>
    <row r="1008" ht="15" customHeight="1" s="71">
      <c r="A1008" s="87" t="n"/>
      <c r="B1008" s="91" t="n"/>
      <c r="C1008" s="89">
        <f>IF(OR($A1008="",$B1008=""),"",IFERROR(VLOOKUP($B1008,Employés!$A:$B,2,0),""))</f>
        <v/>
      </c>
      <c r="D1008" s="93" t="n"/>
      <c r="E1008" s="93" t="n"/>
      <c r="F1008" s="93" t="n"/>
      <c r="G1008" s="93" t="n"/>
      <c r="H1008" s="93" t="n"/>
      <c r="I1008" s="105">
        <f>IF($A1008="","",SUM(D1008:H1008))</f>
        <v/>
      </c>
    </row>
    <row r="1009" ht="15" customHeight="1" s="71">
      <c r="A1009" s="87" t="n"/>
      <c r="B1009" s="91" t="n"/>
      <c r="C1009" s="89">
        <f>IF(OR($A1009="",$B1009=""),"",IFERROR(VLOOKUP($B1009,Employés!$A:$B,2,0),""))</f>
        <v/>
      </c>
      <c r="D1009" s="93" t="n"/>
      <c r="E1009" s="93" t="n"/>
      <c r="F1009" s="93" t="n"/>
      <c r="G1009" s="93" t="n"/>
      <c r="H1009" s="93" t="n"/>
      <c r="I1009" s="105">
        <f>IF($A1009="","",SUM(D1009:H1009))</f>
        <v/>
      </c>
    </row>
    <row r="1010" ht="15" customHeight="1" s="71">
      <c r="A1010" s="87" t="n"/>
      <c r="B1010" s="91" t="n"/>
      <c r="C1010" s="89">
        <f>IF(OR($A1010="",$B1010=""),"",IFERROR(VLOOKUP($B1010,Employés!$A:$B,2,0),""))</f>
        <v/>
      </c>
      <c r="D1010" s="93" t="n"/>
      <c r="E1010" s="93" t="n"/>
      <c r="F1010" s="93" t="n"/>
      <c r="G1010" s="93" t="n"/>
      <c r="H1010" s="93" t="n"/>
      <c r="I1010" s="105">
        <f>IF($A1010="","",SUM(D1010:H1010))</f>
        <v/>
      </c>
    </row>
    <row r="1011" ht="15" customHeight="1" s="71">
      <c r="A1011" s="87" t="n"/>
      <c r="B1011" s="91" t="n"/>
      <c r="C1011" s="89">
        <f>IF(OR($A1011="",$B1011=""),"",IFERROR(VLOOKUP($B1011,Employés!$A:$B,2,0),""))</f>
        <v/>
      </c>
      <c r="D1011" s="93" t="n"/>
      <c r="E1011" s="93" t="n"/>
      <c r="F1011" s="93" t="n"/>
      <c r="G1011" s="93" t="n"/>
      <c r="H1011" s="93" t="n"/>
      <c r="I1011" s="105">
        <f>IF($A1011="","",SUM(D1011:H1011))</f>
        <v/>
      </c>
    </row>
    <row r="1012" ht="15" customHeight="1" s="71">
      <c r="A1012" s="87" t="n"/>
      <c r="B1012" s="91" t="n"/>
      <c r="C1012" s="89">
        <f>IF(OR($A1012="",$B1012=""),"",IFERROR(VLOOKUP($B1012,Employés!$A:$B,2,0),""))</f>
        <v/>
      </c>
      <c r="D1012" s="93" t="n"/>
      <c r="E1012" s="93" t="n"/>
      <c r="F1012" s="93" t="n"/>
      <c r="G1012" s="93" t="n"/>
      <c r="H1012" s="93" t="n"/>
      <c r="I1012" s="105">
        <f>IF($A1012="","",SUM(D1012:H1012))</f>
        <v/>
      </c>
    </row>
    <row r="1013" ht="15" customHeight="1" s="71">
      <c r="A1013" s="87" t="n"/>
      <c r="B1013" s="91" t="n"/>
      <c r="C1013" s="89">
        <f>IF(OR($A1013="",$B1013=""),"",IFERROR(VLOOKUP($B1013,Employés!$A:$B,2,0),""))</f>
        <v/>
      </c>
      <c r="D1013" s="93" t="n"/>
      <c r="E1013" s="93" t="n"/>
      <c r="F1013" s="93" t="n"/>
      <c r="G1013" s="93" t="n"/>
      <c r="H1013" s="93" t="n"/>
      <c r="I1013" s="105">
        <f>IF($A1013="","",SUM(D1013:H1013))</f>
        <v/>
      </c>
    </row>
    <row r="1014" ht="15" customHeight="1" s="71">
      <c r="A1014" s="87" t="n"/>
      <c r="B1014" s="91" t="n"/>
      <c r="C1014" s="89">
        <f>IF(OR($A1014="",$B1014=""),"",IFERROR(VLOOKUP($B1014,Employés!$A:$B,2,0),""))</f>
        <v/>
      </c>
      <c r="D1014" s="93" t="n"/>
      <c r="E1014" s="93" t="n"/>
      <c r="F1014" s="93" t="n"/>
      <c r="G1014" s="93" t="n"/>
      <c r="H1014" s="93" t="n"/>
      <c r="I1014" s="105">
        <f>IF($A1014="","",SUM(D1014:H1014))</f>
        <v/>
      </c>
    </row>
    <row r="1015" ht="15" customHeight="1" s="71">
      <c r="A1015" s="87" t="n"/>
      <c r="B1015" s="91" t="n"/>
      <c r="C1015" s="89">
        <f>IF(OR($A1015="",$B1015=""),"",IFERROR(VLOOKUP($B1015,Employés!$A:$B,2,0),""))</f>
        <v/>
      </c>
      <c r="D1015" s="93" t="n"/>
      <c r="E1015" s="93" t="n"/>
      <c r="F1015" s="93" t="n"/>
      <c r="G1015" s="93" t="n"/>
      <c r="H1015" s="93" t="n"/>
      <c r="I1015" s="105">
        <f>IF($A1015="","",SUM(D1015:H1015))</f>
        <v/>
      </c>
    </row>
    <row r="1016" ht="15" customHeight="1" s="71">
      <c r="A1016" s="87" t="n"/>
      <c r="B1016" s="91" t="n"/>
      <c r="C1016" s="89">
        <f>IF(OR($A1016="",$B1016=""),"",IFERROR(VLOOKUP($B1016,Employés!$A:$B,2,0),""))</f>
        <v/>
      </c>
      <c r="D1016" s="93" t="n"/>
      <c r="E1016" s="93" t="n"/>
      <c r="F1016" s="93" t="n"/>
      <c r="G1016" s="93" t="n"/>
      <c r="H1016" s="93" t="n"/>
      <c r="I1016" s="105">
        <f>IF($A1016="","",SUM(D1016:H1016))</f>
        <v/>
      </c>
    </row>
    <row r="1017" ht="15" customHeight="1" s="71">
      <c r="A1017" s="87" t="n"/>
      <c r="B1017" s="91" t="n"/>
      <c r="C1017" s="89">
        <f>IF(OR($A1017="",$B1017=""),"",IFERROR(VLOOKUP($B1017,Employés!$A:$B,2,0),""))</f>
        <v/>
      </c>
      <c r="D1017" s="93" t="n"/>
      <c r="E1017" s="93" t="n"/>
      <c r="F1017" s="93" t="n"/>
      <c r="G1017" s="93" t="n"/>
      <c r="H1017" s="93" t="n"/>
      <c r="I1017" s="105">
        <f>IF($A1017="","",SUM(D1017:H1017))</f>
        <v/>
      </c>
    </row>
    <row r="1018" ht="15" customHeight="1" s="71">
      <c r="A1018" s="87" t="n"/>
      <c r="B1018" s="91" t="n"/>
      <c r="C1018" s="89">
        <f>IF(OR($A1018="",$B1018=""),"",IFERROR(VLOOKUP($B1018,Employés!$A:$B,2,0),""))</f>
        <v/>
      </c>
      <c r="D1018" s="93" t="n"/>
      <c r="E1018" s="93" t="n"/>
      <c r="F1018" s="93" t="n"/>
      <c r="G1018" s="93" t="n"/>
      <c r="H1018" s="93" t="n"/>
      <c r="I1018" s="105">
        <f>IF($A1018="","",SUM(D1018:H1018))</f>
        <v/>
      </c>
    </row>
    <row r="1019" ht="15" customHeight="1" s="71">
      <c r="A1019" s="87" t="n"/>
      <c r="B1019" s="91" t="n"/>
      <c r="C1019" s="89">
        <f>IF(OR($A1019="",$B1019=""),"",IFERROR(VLOOKUP($B1019,Employés!$A:$B,2,0),""))</f>
        <v/>
      </c>
      <c r="D1019" s="93" t="n"/>
      <c r="E1019" s="93" t="n"/>
      <c r="F1019" s="93" t="n"/>
      <c r="G1019" s="93" t="n"/>
      <c r="H1019" s="93" t="n"/>
      <c r="I1019" s="105">
        <f>IF($A1019="","",SUM(D1019:H1019))</f>
        <v/>
      </c>
    </row>
    <row r="1020" ht="15" customHeight="1" s="71">
      <c r="A1020" s="87" t="n"/>
      <c r="B1020" s="91" t="n"/>
      <c r="C1020" s="89">
        <f>IF(OR($A1020="",$B1020=""),"",IFERROR(VLOOKUP($B1020,Employés!$A:$B,2,0),""))</f>
        <v/>
      </c>
      <c r="D1020" s="93" t="n"/>
      <c r="E1020" s="93" t="n"/>
      <c r="F1020" s="93" t="n"/>
      <c r="G1020" s="93" t="n"/>
      <c r="H1020" s="93" t="n"/>
      <c r="I1020" s="105">
        <f>IF($A1020="","",SUM(D1020:H1020))</f>
        <v/>
      </c>
    </row>
    <row r="1021" ht="15" customHeight="1" s="71">
      <c r="A1021" s="87" t="n"/>
      <c r="B1021" s="91" t="n"/>
      <c r="C1021" s="89">
        <f>IF(OR($A1021="",$B1021=""),"",IFERROR(VLOOKUP($B1021,Employés!$A:$B,2,0),""))</f>
        <v/>
      </c>
      <c r="D1021" s="93" t="n"/>
      <c r="E1021" s="93" t="n"/>
      <c r="F1021" s="93" t="n"/>
      <c r="G1021" s="93" t="n"/>
      <c r="H1021" s="93" t="n"/>
      <c r="I1021" s="105">
        <f>IF($A1021="","",SUM(D1021:H1021))</f>
        <v/>
      </c>
    </row>
    <row r="1022" ht="15" customHeight="1" s="71">
      <c r="A1022" s="87" t="n"/>
      <c r="B1022" s="91" t="n"/>
      <c r="C1022" s="89">
        <f>IF(OR($A1022="",$B1022=""),"",IFERROR(VLOOKUP($B1022,Employés!$A:$B,2,0),""))</f>
        <v/>
      </c>
      <c r="D1022" s="93" t="n"/>
      <c r="E1022" s="93" t="n"/>
      <c r="F1022" s="93" t="n"/>
      <c r="G1022" s="93" t="n"/>
      <c r="H1022" s="93" t="n"/>
      <c r="I1022" s="105">
        <f>IF($A1022="","",SUM(D1022:H1022))</f>
        <v/>
      </c>
    </row>
    <row r="1023" ht="15" customHeight="1" s="71">
      <c r="A1023" s="87" t="n"/>
      <c r="B1023" s="91" t="n"/>
      <c r="C1023" s="89">
        <f>IF(OR($A1023="",$B1023=""),"",IFERROR(VLOOKUP($B1023,Employés!$A:$B,2,0),""))</f>
        <v/>
      </c>
      <c r="D1023" s="93" t="n"/>
      <c r="E1023" s="93" t="n"/>
      <c r="F1023" s="93" t="n"/>
      <c r="G1023" s="93" t="n"/>
      <c r="H1023" s="93" t="n"/>
      <c r="I1023" s="105">
        <f>IF($A1023="","",SUM(D1023:H1023))</f>
        <v/>
      </c>
    </row>
    <row r="1024" ht="15" customHeight="1" s="71">
      <c r="A1024" s="87" t="n"/>
      <c r="B1024" s="91" t="n"/>
      <c r="C1024" s="89">
        <f>IF(OR($A1024="",$B1024=""),"",IFERROR(VLOOKUP($B1024,Employés!$A:$B,2,0),""))</f>
        <v/>
      </c>
      <c r="D1024" s="93" t="n"/>
      <c r="E1024" s="93" t="n"/>
      <c r="F1024" s="93" t="n"/>
      <c r="G1024" s="93" t="n"/>
      <c r="H1024" s="93" t="n"/>
      <c r="I1024" s="105">
        <f>IF($A1024="","",SUM(D1024:H1024))</f>
        <v/>
      </c>
    </row>
    <row r="1025" ht="15" customHeight="1" s="71">
      <c r="A1025" s="87" t="n"/>
      <c r="B1025" s="91" t="n"/>
      <c r="C1025" s="89">
        <f>IF(OR($A1025="",$B1025=""),"",IFERROR(VLOOKUP($B1025,Employés!$A:$B,2,0),""))</f>
        <v/>
      </c>
      <c r="D1025" s="93" t="n"/>
      <c r="E1025" s="93" t="n"/>
      <c r="F1025" s="93" t="n"/>
      <c r="G1025" s="93" t="n"/>
      <c r="H1025" s="93" t="n"/>
      <c r="I1025" s="105">
        <f>IF($A1025="","",SUM(D1025:H1025))</f>
        <v/>
      </c>
    </row>
    <row r="1026" ht="15" customHeight="1" s="71">
      <c r="A1026" s="87" t="n"/>
      <c r="B1026" s="91" t="n"/>
      <c r="C1026" s="89">
        <f>IF(OR($A1026="",$B1026=""),"",IFERROR(VLOOKUP($B1026,Employés!$A:$B,2,0),""))</f>
        <v/>
      </c>
      <c r="D1026" s="93" t="n"/>
      <c r="E1026" s="93" t="n"/>
      <c r="F1026" s="93" t="n"/>
      <c r="G1026" s="93" t="n"/>
      <c r="H1026" s="93" t="n"/>
      <c r="I1026" s="105">
        <f>IF($A1026="","",SUM(D1026:H1026))</f>
        <v/>
      </c>
    </row>
    <row r="1027" ht="15" customHeight="1" s="71">
      <c r="A1027" s="87" t="n"/>
      <c r="B1027" s="91" t="n"/>
      <c r="C1027" s="89">
        <f>IF(OR($A1027="",$B1027=""),"",IFERROR(VLOOKUP($B1027,Employés!$A:$B,2,0),""))</f>
        <v/>
      </c>
      <c r="D1027" s="93" t="n"/>
      <c r="E1027" s="93" t="n"/>
      <c r="F1027" s="93" t="n"/>
      <c r="G1027" s="93" t="n"/>
      <c r="H1027" s="93" t="n"/>
      <c r="I1027" s="105">
        <f>IF($A1027="","",SUM(D1027:H1027))</f>
        <v/>
      </c>
    </row>
    <row r="1028" ht="15" customHeight="1" s="71">
      <c r="A1028" s="87" t="n"/>
      <c r="B1028" s="91" t="n"/>
      <c r="C1028" s="89">
        <f>IF(OR($A1028="",$B1028=""),"",IFERROR(VLOOKUP($B1028,Employés!$A:$B,2,0),""))</f>
        <v/>
      </c>
      <c r="D1028" s="93" t="n"/>
      <c r="E1028" s="93" t="n"/>
      <c r="F1028" s="93" t="n"/>
      <c r="G1028" s="93" t="n"/>
      <c r="H1028" s="93" t="n"/>
      <c r="I1028" s="105">
        <f>IF($A1028="","",SUM(D1028:H1028))</f>
        <v/>
      </c>
    </row>
    <row r="1029" ht="15" customHeight="1" s="71">
      <c r="A1029" s="87" t="n"/>
      <c r="B1029" s="91" t="n"/>
      <c r="C1029" s="89">
        <f>IF(OR($A1029="",$B1029=""),"",IFERROR(VLOOKUP($B1029,Employés!$A:$B,2,0),""))</f>
        <v/>
      </c>
      <c r="D1029" s="93" t="n"/>
      <c r="E1029" s="93" t="n"/>
      <c r="F1029" s="93" t="n"/>
      <c r="G1029" s="93" t="n"/>
      <c r="H1029" s="93" t="n"/>
      <c r="I1029" s="105">
        <f>IF($A1029="","",SUM(D1029:H1029))</f>
        <v/>
      </c>
    </row>
    <row r="1030" ht="15" customHeight="1" s="71">
      <c r="A1030" s="87" t="n"/>
      <c r="B1030" s="91" t="n"/>
      <c r="C1030" s="89">
        <f>IF(OR($A1030="",$B1030=""),"",IFERROR(VLOOKUP($B1030,Employés!$A:$B,2,0),""))</f>
        <v/>
      </c>
      <c r="D1030" s="93" t="n"/>
      <c r="E1030" s="93" t="n"/>
      <c r="F1030" s="93" t="n"/>
      <c r="G1030" s="93" t="n"/>
      <c r="H1030" s="93" t="n"/>
      <c r="I1030" s="105">
        <f>IF($A1030="","",SUM(D1030:H1030))</f>
        <v/>
      </c>
    </row>
    <row r="1031" ht="15" customHeight="1" s="71">
      <c r="A1031" s="87" t="n"/>
      <c r="B1031" s="91" t="n"/>
      <c r="C1031" s="89">
        <f>IF(OR($A1031="",$B1031=""),"",IFERROR(VLOOKUP($B1031,Employés!$A:$B,2,0),""))</f>
        <v/>
      </c>
      <c r="D1031" s="93" t="n"/>
      <c r="E1031" s="93" t="n"/>
      <c r="F1031" s="93" t="n"/>
      <c r="G1031" s="93" t="n"/>
      <c r="H1031" s="93" t="n"/>
      <c r="I1031" s="105">
        <f>IF($A1031="","",SUM(D1031:H1031))</f>
        <v/>
      </c>
    </row>
    <row r="1032" ht="15" customHeight="1" s="71">
      <c r="A1032" s="87" t="n"/>
      <c r="B1032" s="91" t="n"/>
      <c r="C1032" s="89">
        <f>IF(OR($A1032="",$B1032=""),"",IFERROR(VLOOKUP($B1032,Employés!$A:$B,2,0),""))</f>
        <v/>
      </c>
      <c r="D1032" s="93" t="n"/>
      <c r="E1032" s="93" t="n"/>
      <c r="F1032" s="93" t="n"/>
      <c r="G1032" s="93" t="n"/>
      <c r="H1032" s="93" t="n"/>
      <c r="I1032" s="105">
        <f>IF($A1032="","",SUM(D1032:H1032))</f>
        <v/>
      </c>
    </row>
    <row r="1033" ht="15" customHeight="1" s="71">
      <c r="A1033" s="87" t="n"/>
      <c r="B1033" s="91" t="n"/>
      <c r="C1033" s="89">
        <f>IF(OR($A1033="",$B1033=""),"",IFERROR(VLOOKUP($B1033,Employés!$A:$B,2,0),""))</f>
        <v/>
      </c>
      <c r="D1033" s="93" t="n"/>
      <c r="E1033" s="93" t="n"/>
      <c r="F1033" s="93" t="n"/>
      <c r="G1033" s="93" t="n"/>
      <c r="H1033" s="93" t="n"/>
      <c r="I1033" s="105">
        <f>IF($A1033="","",SUM(D1033:H1033))</f>
        <v/>
      </c>
    </row>
    <row r="1034" ht="15" customHeight="1" s="71">
      <c r="A1034" s="87" t="n"/>
      <c r="B1034" s="91" t="n"/>
      <c r="C1034" s="89">
        <f>IF(OR($A1034="",$B1034=""),"",IFERROR(VLOOKUP($B1034,Employés!$A:$B,2,0),""))</f>
        <v/>
      </c>
      <c r="D1034" s="93" t="n"/>
      <c r="E1034" s="93" t="n"/>
      <c r="F1034" s="93" t="n"/>
      <c r="G1034" s="93" t="n"/>
      <c r="H1034" s="93" t="n"/>
      <c r="I1034" s="105">
        <f>IF($A1034="","",SUM(D1034:H1034))</f>
        <v/>
      </c>
    </row>
    <row r="1035" ht="15" customHeight="1" s="71">
      <c r="A1035" s="87" t="n"/>
      <c r="B1035" s="91" t="n"/>
      <c r="C1035" s="89">
        <f>IF(OR($A1035="",$B1035=""),"",IFERROR(VLOOKUP($B1035,Employés!$A:$B,2,0),""))</f>
        <v/>
      </c>
      <c r="D1035" s="93" t="n"/>
      <c r="E1035" s="93" t="n"/>
      <c r="F1035" s="93" t="n"/>
      <c r="G1035" s="93" t="n"/>
      <c r="H1035" s="93" t="n"/>
      <c r="I1035" s="105">
        <f>IF($A1035="","",SUM(D1035:H1035))</f>
        <v/>
      </c>
    </row>
    <row r="1036" ht="15" customHeight="1" s="71">
      <c r="A1036" s="87" t="n"/>
      <c r="B1036" s="91" t="n"/>
      <c r="C1036" s="89">
        <f>IF(OR($A1036="",$B1036=""),"",IFERROR(VLOOKUP($B1036,Employés!$A:$B,2,0),""))</f>
        <v/>
      </c>
      <c r="D1036" s="93" t="n"/>
      <c r="E1036" s="93" t="n"/>
      <c r="F1036" s="93" t="n"/>
      <c r="G1036" s="93" t="n"/>
      <c r="H1036" s="93" t="n"/>
      <c r="I1036" s="105">
        <f>IF($A1036="","",SUM(D1036:H1036))</f>
        <v/>
      </c>
    </row>
    <row r="1037" ht="15" customHeight="1" s="71">
      <c r="A1037" s="87" t="n"/>
      <c r="B1037" s="91" t="n"/>
      <c r="C1037" s="89">
        <f>IF(OR($A1037="",$B1037=""),"",IFERROR(VLOOKUP($B1037,Employés!$A:$B,2,0),""))</f>
        <v/>
      </c>
      <c r="D1037" s="93" t="n"/>
      <c r="E1037" s="93" t="n"/>
      <c r="F1037" s="93" t="n"/>
      <c r="G1037" s="93" t="n"/>
      <c r="H1037" s="93" t="n"/>
      <c r="I1037" s="105">
        <f>IF($A1037="","",SUM(D1037:H1037))</f>
        <v/>
      </c>
    </row>
    <row r="1038" ht="15" customHeight="1" s="71">
      <c r="A1038" s="87" t="n"/>
      <c r="B1038" s="91" t="n"/>
      <c r="C1038" s="89">
        <f>IF(OR($A1038="",$B1038=""),"",IFERROR(VLOOKUP($B1038,Employés!$A:$B,2,0),""))</f>
        <v/>
      </c>
      <c r="D1038" s="93" t="n"/>
      <c r="E1038" s="93" t="n"/>
      <c r="F1038" s="93" t="n"/>
      <c r="G1038" s="93" t="n"/>
      <c r="H1038" s="93" t="n"/>
      <c r="I1038" s="105">
        <f>IF($A1038="","",SUM(D1038:H1038))</f>
        <v/>
      </c>
    </row>
    <row r="1039" ht="15" customHeight="1" s="71">
      <c r="A1039" s="87" t="n"/>
      <c r="B1039" s="91" t="n"/>
      <c r="C1039" s="89">
        <f>IF(OR($A1039="",$B1039=""),"",IFERROR(VLOOKUP($B1039,Employés!$A:$B,2,0),""))</f>
        <v/>
      </c>
      <c r="D1039" s="93" t="n"/>
      <c r="E1039" s="93" t="n"/>
      <c r="F1039" s="93" t="n"/>
      <c r="G1039" s="93" t="n"/>
      <c r="H1039" s="93" t="n"/>
      <c r="I1039" s="105">
        <f>IF($A1039="","",SUM(D1039:H1039))</f>
        <v/>
      </c>
    </row>
    <row r="1040" ht="15" customHeight="1" s="71">
      <c r="A1040" s="87" t="n"/>
      <c r="B1040" s="91" t="n"/>
      <c r="C1040" s="89">
        <f>IF(OR($A1040="",$B1040=""),"",IFERROR(VLOOKUP($B1040,Employés!$A:$B,2,0),""))</f>
        <v/>
      </c>
      <c r="D1040" s="93" t="n"/>
      <c r="E1040" s="93" t="n"/>
      <c r="F1040" s="93" t="n"/>
      <c r="G1040" s="93" t="n"/>
      <c r="H1040" s="93" t="n"/>
      <c r="I1040" s="105">
        <f>IF($A1040="","",SUM(D1040:H1040))</f>
        <v/>
      </c>
    </row>
  </sheetData>
  <mergeCells count="2">
    <mergeCell ref="A1:I1"/>
    <mergeCell ref="A38:I38"/>
  </mergeCell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6.xml><?xml version="1.0" encoding="utf-8"?>
<worksheet xmlns="http://schemas.openxmlformats.org/spreadsheetml/2006/main">
  <sheetPr filterMode="0">
    <outlinePr summaryBelow="1" summaryRight="1"/>
    <pageSetUpPr fitToPage="0"/>
  </sheetPr>
  <dimension ref="A1:AD79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3" ySplit="4" topLeftCell="D5" activePane="bottomRight" state="frozen"/>
      <selection pane="topLeft" activeCell="A1" activeCellId="0" sqref="A1"/>
      <selection pane="topRight" activeCell="D1" activeCellId="0" sqref="D1"/>
      <selection pane="bottomLeft" activeCell="A5" activeCellId="0" sqref="A5"/>
      <selection pane="bottomRight" activeCell="A1" activeCellId="0" sqref="A1"/>
    </sheetView>
  </sheetViews>
  <sheetFormatPr baseColWidth="8" defaultColWidth="8.71484375" defaultRowHeight="15" zeroHeight="0" outlineLevelRow="0"/>
  <cols>
    <col width="10" customWidth="1" style="70" min="1" max="1"/>
    <col width="30" customWidth="1" style="70" min="2" max="2"/>
    <col width="24" customWidth="1" style="70" min="3" max="3"/>
    <col width="11" customWidth="1" style="70" min="4" max="30"/>
  </cols>
  <sheetData>
    <row r="1" ht="15.75" customHeight="1" s="71">
      <c r="A1" s="99">
        <f>"LIVRE DE PAIE — ECLOSION EDITION SARL — "&amp;PERIODE_LIBELLE</f>
        <v/>
      </c>
    </row>
    <row r="2" ht="15" customHeight="1" s="71">
      <c r="A2" s="106" t="inlineStr">
        <is>
          <t>MOTEUR DE CALCUL UNIQUE : intègre salaire de base, compléments, prime d'ancienneté, absences, cotisations, impôts et retenues internes. Le bulletin et les déclarations lisent ces valeurs. Feuille 100 % calculée — aucune saisie ici.</t>
        </is>
      </c>
    </row>
    <row r="4" ht="27.75" customHeight="1" s="71">
      <c r="A4" s="107" t="inlineStr">
        <is>
          <t>Matricule</t>
        </is>
      </c>
      <c r="B4" s="107" t="inlineStr">
        <is>
          <t>Nom &amp; Prénom</t>
        </is>
      </c>
      <c r="C4" s="107" t="inlineStr">
        <is>
          <t>Département</t>
        </is>
      </c>
      <c r="D4" s="107" t="inlineStr">
        <is>
          <t>Salaire de base</t>
        </is>
      </c>
      <c r="E4" s="107" t="inlineStr">
        <is>
          <t>Compléments</t>
        </is>
      </c>
      <c r="F4" s="107" t="inlineStr">
        <is>
          <t>Prime ancienneté</t>
        </is>
      </c>
      <c r="G4" s="107" t="inlineStr">
        <is>
          <t>Retenue absence</t>
        </is>
      </c>
      <c r="H4" s="107" t="inlineStr">
        <is>
          <t>SALAIRE BRUT</t>
        </is>
      </c>
      <c r="I4" s="107" t="inlineStr">
        <is>
          <t>Assiette fiscale</t>
        </is>
      </c>
      <c r="J4" s="107" t="inlineStr">
        <is>
          <t>Assiette CNPS plafonnée</t>
        </is>
      </c>
      <c r="K4" s="107" t="inlineStr">
        <is>
          <t>PVID salarié</t>
        </is>
      </c>
      <c r="L4" s="107" t="inlineStr">
        <is>
          <t>PVID patronal</t>
        </is>
      </c>
      <c r="M4" s="107" t="inlineStr">
        <is>
          <t>Prest. familiales</t>
        </is>
      </c>
      <c r="N4" s="107" t="inlineStr">
        <is>
          <t>Accidents travail</t>
        </is>
      </c>
      <c r="O4" s="107" t="inlineStr">
        <is>
          <t>CFC salarié</t>
        </is>
      </c>
      <c r="P4" s="107" t="inlineStr">
        <is>
          <t>CFC patronal</t>
        </is>
      </c>
      <c r="Q4" s="107" t="inlineStr">
        <is>
          <t>FNE patronal</t>
        </is>
      </c>
      <c r="R4" s="107" t="inlineStr">
        <is>
          <t>Taxe communale</t>
        </is>
      </c>
      <c r="S4" s="107" t="inlineStr">
        <is>
          <t>RAV</t>
        </is>
      </c>
      <c r="T4" s="107" t="inlineStr">
        <is>
          <t>Base IRPP annuelle /part</t>
        </is>
      </c>
      <c r="U4" s="107" t="inlineStr">
        <is>
          <t>IRPP + CAC</t>
        </is>
      </c>
      <c r="V4" s="107" t="inlineStr">
        <is>
          <t>Avance</t>
        </is>
      </c>
      <c r="W4" s="107" t="inlineStr">
        <is>
          <t>Remb. prêt</t>
        </is>
      </c>
      <c r="X4" s="107" t="inlineStr">
        <is>
          <t>Retard</t>
        </is>
      </c>
      <c r="Y4" s="107" t="inlineStr">
        <is>
          <t>Autres ret.</t>
        </is>
      </c>
      <c r="Z4" s="107" t="inlineStr">
        <is>
          <t>Total retenues internes</t>
        </is>
      </c>
      <c r="AA4" s="107" t="inlineStr">
        <is>
          <t>TOTAL RETENUES SALARIALES</t>
        </is>
      </c>
      <c r="AB4" s="107" t="inlineStr">
        <is>
          <t>TOTAL CHARGES PATRONALES</t>
        </is>
      </c>
      <c r="AC4" s="107" t="inlineStr">
        <is>
          <t>NET À PAYER</t>
        </is>
      </c>
      <c r="AD4" s="107" t="inlineStr">
        <is>
          <t>COÛT EMPLOYEUR</t>
        </is>
      </c>
    </row>
    <row r="5" ht="15" customHeight="1" s="71">
      <c r="A5" s="82">
        <f>IF(OR(Employés!A5="",Employés!N5&lt;&gt;"Actif"),"",Employés!A5)</f>
        <v/>
      </c>
      <c r="B5" s="82">
        <f>IF($A5="","",Employés!B5)</f>
        <v/>
      </c>
      <c r="C5" s="82">
        <f>IF($A5="","",Employés!C5)</f>
        <v/>
      </c>
      <c r="D5" s="83">
        <f>IF($A5="","",N(Employés!K5))</f>
        <v/>
      </c>
      <c r="E5" s="83">
        <f>IF($A5="","",N(Employés!L5))</f>
        <v/>
      </c>
      <c r="F5" s="83">
        <f>IF($A5="","",IF(Employés!U5&lt;&gt;"Oui",0,IF(N(Employés!R5)&gt;=N(Employés!T5),ROUND(D5*IF(N(Employés!S5)&gt;0,Employés!S5,TX_ANC_DEF),0),0)))</f>
        <v/>
      </c>
      <c r="G5" s="83">
        <f>IF($A5="","",SUMIFS('Retenues internes'!$F$41:$F$1040,'Retenues internes'!$A$41:$A$1040,PERIODE_DATE,'Retenues internes'!$B$41:$B$1040,$A5))</f>
        <v/>
      </c>
      <c r="H5" s="83">
        <f>IF($A5="","",MAX(D5+E5+F5-G5,0))</f>
        <v/>
      </c>
      <c r="I5" s="83">
        <f>IF($A5="","",MAX(N(Employés!M5)+F5-G5,0))</f>
        <v/>
      </c>
      <c r="J5" s="83">
        <f>IF($A5="","",MIN(ROUND(I5*COEF_ASSIETTE,0),PLAFOND_CNPS))</f>
        <v/>
      </c>
      <c r="K5" s="83">
        <f>IF($A5="","",ROUND(J5*TX_VID_SAL,0))</f>
        <v/>
      </c>
      <c r="L5" s="83">
        <f>IF($A5="","",ROUND(J5*TX_VID_PAT,0))</f>
        <v/>
      </c>
      <c r="M5" s="83">
        <f>IF($A5="","",ROUND(J5*TX_PF,0))</f>
        <v/>
      </c>
      <c r="N5" s="83">
        <f>IF($A5="","",ROUND(J5*TX_AT,0))</f>
        <v/>
      </c>
      <c r="O5" s="83">
        <f>IF($A5="","",ROUND(I5*TX_CFC_SAL,0))</f>
        <v/>
      </c>
      <c r="P5" s="83">
        <f>IF($A5="","",ROUND(I5*TX_CFC_PAT,0))</f>
        <v/>
      </c>
      <c r="Q5" s="83">
        <f>IF($A5="","",ROUND(I5*TX_FNE,0))</f>
        <v/>
      </c>
      <c r="R5" s="83">
        <f>IF($A5="","",IF(H5&lt;=TC_S1,TC_V1,IF(H5&lt;=TC_S2,TC_V2,TC_V3)))</f>
        <v/>
      </c>
      <c r="S5" s="83">
        <f>IF($A5="","",IF(H5&lt;=TC_S1,RAV_V1,IF(H5&lt;=TC_S2,RAV_V2,RAV_V3)))</f>
        <v/>
      </c>
      <c r="T5" s="83">
        <f>IF($A5="","",MAX(I5*12*(1-ABAT_PCT)-ABAT_FIXE,0)/IF(Employés!V5="Oui",MAX(N(Employés!Q5),1),1))</f>
        <v/>
      </c>
      <c r="U5" s="83">
        <f>IF($A5="","",ROUND((IF(T5&lt;=IRPP_P1,T5*IRPP_T1,IF(T5&lt;=IRPP_P2,IRPP_P1*IRPP_T1+(T5-IRPP_P1)*IRPP_T2,IF(T5&lt;=IRPP_P3,IRPP_P1*IRPP_T1+(IRPP_P2-IRPP_P1)*IRPP_T2+(T5-IRPP_P2)*IRPP_T3,IRPP_P1*IRPP_T1+(IRPP_P2-IRPP_P1)*IRPP_T2+(IRPP_P3-IRPP_P2)*IRPP_T3+(T5-IRPP_P3)*IRPP_T4))))*(1+TX_CAC)/12,0))</f>
        <v/>
      </c>
      <c r="V5" s="83">
        <f>IF($A5="","",SUMIFS('Retenues internes'!$D$41:$D$1040,'Retenues internes'!$A$41:$A$1040,PERIODE_DATE,'Retenues internes'!$B$41:$B$1040,$A5))</f>
        <v/>
      </c>
      <c r="W5" s="83">
        <f>IF($A5="","",SUMIFS('Retenues internes'!$E$41:$E$1040,'Retenues internes'!$A$41:$A$1040,PERIODE_DATE,'Retenues internes'!$B$41:$B$1040,$A5))</f>
        <v/>
      </c>
      <c r="X5" s="83">
        <f>IF($A5="","",SUMIFS('Retenues internes'!$G$41:$G$1040,'Retenues internes'!$A$41:$A$1040,PERIODE_DATE,'Retenues internes'!$B$41:$B$1040,$A5))</f>
        <v/>
      </c>
      <c r="Y5" s="83">
        <f>IF($A5="","",SUMIFS('Retenues internes'!$H$41:$H$1040,'Retenues internes'!$A$41:$A$1040,PERIODE_DATE,'Retenues internes'!$B$41:$B$1040,$A5))</f>
        <v/>
      </c>
      <c r="Z5" s="83">
        <f>IF($A5="","",V5+W5+X5+Y5)</f>
        <v/>
      </c>
      <c r="AA5" s="83">
        <f>IF($A5="","",K5+O5+R5+S5+U5)</f>
        <v/>
      </c>
      <c r="AB5" s="82">
        <f>IF($A5="","",L5+M5+N5+P5+Q5)</f>
        <v/>
      </c>
      <c r="AC5" s="83">
        <f>IF($A5="","",H5-AA5-Z5)</f>
        <v/>
      </c>
      <c r="AD5" s="83">
        <f>IF($A5="","",H5+AB5)</f>
        <v/>
      </c>
    </row>
    <row r="6" ht="15" customHeight="1" s="71">
      <c r="A6" s="82">
        <f>IF(OR(Employés!A6="",Employés!N6&lt;&gt;"Actif"),"",Employés!A6)</f>
        <v/>
      </c>
      <c r="B6" s="82">
        <f>IF($A6="","",Employés!B6)</f>
        <v/>
      </c>
      <c r="C6" s="82">
        <f>IF($A6="","",Employés!C6)</f>
        <v/>
      </c>
      <c r="D6" s="83">
        <f>IF($A6="","",N(Employés!K6))</f>
        <v/>
      </c>
      <c r="E6" s="83">
        <f>IF($A6="","",N(Employés!L6))</f>
        <v/>
      </c>
      <c r="F6" s="83">
        <f>IF($A6="","",IF(Employés!U6&lt;&gt;"Oui",0,IF(N(Employés!R6)&gt;=N(Employés!T6),ROUND(D6*IF(N(Employés!S6)&gt;0,Employés!S6,TX_ANC_DEF),0),0)))</f>
        <v/>
      </c>
      <c r="G6" s="83">
        <f>IF($A6="","",SUMIFS('Retenues internes'!$F$41:$F$1040,'Retenues internes'!$A$41:$A$1040,PERIODE_DATE,'Retenues internes'!$B$41:$B$1040,$A6))</f>
        <v/>
      </c>
      <c r="H6" s="83">
        <f>IF($A6="","",MAX(D6+E6+F6-G6,0))</f>
        <v/>
      </c>
      <c r="I6" s="83">
        <f>IF($A6="","",MAX(N(Employés!M6)+F6-G6,0))</f>
        <v/>
      </c>
      <c r="J6" s="83">
        <f>IF($A6="","",MIN(ROUND(I6*COEF_ASSIETTE,0),PLAFOND_CNPS))</f>
        <v/>
      </c>
      <c r="K6" s="83">
        <f>IF($A6="","",ROUND(J6*TX_VID_SAL,0))</f>
        <v/>
      </c>
      <c r="L6" s="83">
        <f>IF($A6="","",ROUND(J6*TX_VID_PAT,0))</f>
        <v/>
      </c>
      <c r="M6" s="83">
        <f>IF($A6="","",ROUND(J6*TX_PF,0))</f>
        <v/>
      </c>
      <c r="N6" s="83">
        <f>IF($A6="","",ROUND(J6*TX_AT,0))</f>
        <v/>
      </c>
      <c r="O6" s="83">
        <f>IF($A6="","",ROUND(I6*TX_CFC_SAL,0))</f>
        <v/>
      </c>
      <c r="P6" s="83">
        <f>IF($A6="","",ROUND(I6*TX_CFC_PAT,0))</f>
        <v/>
      </c>
      <c r="Q6" s="83">
        <f>IF($A6="","",ROUND(I6*TX_FNE,0))</f>
        <v/>
      </c>
      <c r="R6" s="83">
        <f>IF($A6="","",IF(H6&lt;=TC_S1,TC_V1,IF(H6&lt;=TC_S2,TC_V2,TC_V3)))</f>
        <v/>
      </c>
      <c r="S6" s="83">
        <f>IF($A6="","",IF(H6&lt;=TC_S1,RAV_V1,IF(H6&lt;=TC_S2,RAV_V2,RAV_V3)))</f>
        <v/>
      </c>
      <c r="T6" s="83">
        <f>IF($A6="","",MAX(I6*12*(1-ABAT_PCT)-ABAT_FIXE,0)/IF(Employés!V6="Oui",MAX(N(Employés!Q6),1),1))</f>
        <v/>
      </c>
      <c r="U6" s="83">
        <f>IF($A6="","",ROUND((IF(T6&lt;=IRPP_P1,T6*IRPP_T1,IF(T6&lt;=IRPP_P2,IRPP_P1*IRPP_T1+(T6-IRPP_P1)*IRPP_T2,IF(T6&lt;=IRPP_P3,IRPP_P1*IRPP_T1+(IRPP_P2-IRPP_P1)*IRPP_T2+(T6-IRPP_P2)*IRPP_T3,IRPP_P1*IRPP_T1+(IRPP_P2-IRPP_P1)*IRPP_T2+(IRPP_P3-IRPP_P2)*IRPP_T3+(T6-IRPP_P3)*IRPP_T4))))*(1+TX_CAC)/12,0))</f>
        <v/>
      </c>
      <c r="V6" s="83">
        <f>IF($A6="","",SUMIFS('Retenues internes'!$D$41:$D$1040,'Retenues internes'!$A$41:$A$1040,PERIODE_DATE,'Retenues internes'!$B$41:$B$1040,$A6))</f>
        <v/>
      </c>
      <c r="W6" s="83">
        <f>IF($A6="","",SUMIFS('Retenues internes'!$E$41:$E$1040,'Retenues internes'!$A$41:$A$1040,PERIODE_DATE,'Retenues internes'!$B$41:$B$1040,$A6))</f>
        <v/>
      </c>
      <c r="X6" s="83">
        <f>IF($A6="","",SUMIFS('Retenues internes'!$G$41:$G$1040,'Retenues internes'!$A$41:$A$1040,PERIODE_DATE,'Retenues internes'!$B$41:$B$1040,$A6))</f>
        <v/>
      </c>
      <c r="Y6" s="83">
        <f>IF($A6="","",SUMIFS('Retenues internes'!$H$41:$H$1040,'Retenues internes'!$A$41:$A$1040,PERIODE_DATE,'Retenues internes'!$B$41:$B$1040,$A6))</f>
        <v/>
      </c>
      <c r="Z6" s="83">
        <f>IF($A6="","",V6+W6+X6+Y6)</f>
        <v/>
      </c>
      <c r="AA6" s="83">
        <f>IF($A6="","",K6+O6+R6+S6+U6)</f>
        <v/>
      </c>
      <c r="AB6" s="82">
        <f>IF($A6="","",L6+M6+N6+P6+Q6)</f>
        <v/>
      </c>
      <c r="AC6" s="83">
        <f>IF($A6="","",H6-AA6-Z6)</f>
        <v/>
      </c>
      <c r="AD6" s="83">
        <f>IF($A6="","",H6+AB6)</f>
        <v/>
      </c>
    </row>
    <row r="7" ht="15" customHeight="1" s="71">
      <c r="A7" s="82">
        <f>IF(OR(Employés!A7="",Employés!N7&lt;&gt;"Actif"),"",Employés!A7)</f>
        <v/>
      </c>
      <c r="B7" s="82">
        <f>IF($A7="","",Employés!B7)</f>
        <v/>
      </c>
      <c r="C7" s="82">
        <f>IF($A7="","",Employés!C7)</f>
        <v/>
      </c>
      <c r="D7" s="83">
        <f>IF($A7="","",N(Employés!K7))</f>
        <v/>
      </c>
      <c r="E7" s="83">
        <f>IF($A7="","",N(Employés!L7))</f>
        <v/>
      </c>
      <c r="F7" s="83">
        <f>IF($A7="","",IF(Employés!U7&lt;&gt;"Oui",0,IF(N(Employés!R7)&gt;=N(Employés!T7),ROUND(D7*IF(N(Employés!S7)&gt;0,Employés!S7,TX_ANC_DEF),0),0)))</f>
        <v/>
      </c>
      <c r="G7" s="83">
        <f>IF($A7="","",SUMIFS('Retenues internes'!$F$41:$F$1040,'Retenues internes'!$A$41:$A$1040,PERIODE_DATE,'Retenues internes'!$B$41:$B$1040,$A7))</f>
        <v/>
      </c>
      <c r="H7" s="83">
        <f>IF($A7="","",MAX(D7+E7+F7-G7,0))</f>
        <v/>
      </c>
      <c r="I7" s="83">
        <f>IF($A7="","",MAX(N(Employés!M7)+F7-G7,0))</f>
        <v/>
      </c>
      <c r="J7" s="83">
        <f>IF($A7="","",MIN(ROUND(I7*COEF_ASSIETTE,0),PLAFOND_CNPS))</f>
        <v/>
      </c>
      <c r="K7" s="83">
        <f>IF($A7="","",ROUND(J7*TX_VID_SAL,0))</f>
        <v/>
      </c>
      <c r="L7" s="83">
        <f>IF($A7="","",ROUND(J7*TX_VID_PAT,0))</f>
        <v/>
      </c>
      <c r="M7" s="83">
        <f>IF($A7="","",ROUND(J7*TX_PF,0))</f>
        <v/>
      </c>
      <c r="N7" s="83">
        <f>IF($A7="","",ROUND(J7*TX_AT,0))</f>
        <v/>
      </c>
      <c r="O7" s="83">
        <f>IF($A7="","",ROUND(I7*TX_CFC_SAL,0))</f>
        <v/>
      </c>
      <c r="P7" s="83">
        <f>IF($A7="","",ROUND(I7*TX_CFC_PAT,0))</f>
        <v/>
      </c>
      <c r="Q7" s="83">
        <f>IF($A7="","",ROUND(I7*TX_FNE,0))</f>
        <v/>
      </c>
      <c r="R7" s="83">
        <f>IF($A7="","",IF(H7&lt;=TC_S1,TC_V1,IF(H7&lt;=TC_S2,TC_V2,TC_V3)))</f>
        <v/>
      </c>
      <c r="S7" s="83">
        <f>IF($A7="","",IF(H7&lt;=TC_S1,RAV_V1,IF(H7&lt;=TC_S2,RAV_V2,RAV_V3)))</f>
        <v/>
      </c>
      <c r="T7" s="83">
        <f>IF($A7="","",MAX(I7*12*(1-ABAT_PCT)-ABAT_FIXE,0)/IF(Employés!V7="Oui",MAX(N(Employés!Q7),1),1))</f>
        <v/>
      </c>
      <c r="U7" s="83">
        <f>IF($A7="","",ROUND((IF(T7&lt;=IRPP_P1,T7*IRPP_T1,IF(T7&lt;=IRPP_P2,IRPP_P1*IRPP_T1+(T7-IRPP_P1)*IRPP_T2,IF(T7&lt;=IRPP_P3,IRPP_P1*IRPP_T1+(IRPP_P2-IRPP_P1)*IRPP_T2+(T7-IRPP_P2)*IRPP_T3,IRPP_P1*IRPP_T1+(IRPP_P2-IRPP_P1)*IRPP_T2+(IRPP_P3-IRPP_P2)*IRPP_T3+(T7-IRPP_P3)*IRPP_T4))))*(1+TX_CAC)/12,0))</f>
        <v/>
      </c>
      <c r="V7" s="83">
        <f>IF($A7="","",SUMIFS('Retenues internes'!$D$41:$D$1040,'Retenues internes'!$A$41:$A$1040,PERIODE_DATE,'Retenues internes'!$B$41:$B$1040,$A7))</f>
        <v/>
      </c>
      <c r="W7" s="83">
        <f>IF($A7="","",SUMIFS('Retenues internes'!$E$41:$E$1040,'Retenues internes'!$A$41:$A$1040,PERIODE_DATE,'Retenues internes'!$B$41:$B$1040,$A7))</f>
        <v/>
      </c>
      <c r="X7" s="83">
        <f>IF($A7="","",SUMIFS('Retenues internes'!$G$41:$G$1040,'Retenues internes'!$A$41:$A$1040,PERIODE_DATE,'Retenues internes'!$B$41:$B$1040,$A7))</f>
        <v/>
      </c>
      <c r="Y7" s="83">
        <f>IF($A7="","",SUMIFS('Retenues internes'!$H$41:$H$1040,'Retenues internes'!$A$41:$A$1040,PERIODE_DATE,'Retenues internes'!$B$41:$B$1040,$A7))</f>
        <v/>
      </c>
      <c r="Z7" s="83">
        <f>IF($A7="","",V7+W7+X7+Y7)</f>
        <v/>
      </c>
      <c r="AA7" s="83">
        <f>IF($A7="","",K7+O7+R7+S7+U7)</f>
        <v/>
      </c>
      <c r="AB7" s="82">
        <f>IF($A7="","",L7+M7+N7+P7+Q7)</f>
        <v/>
      </c>
      <c r="AC7" s="83">
        <f>IF($A7="","",H7-AA7-Z7)</f>
        <v/>
      </c>
      <c r="AD7" s="83">
        <f>IF($A7="","",H7+AB7)</f>
        <v/>
      </c>
    </row>
    <row r="8" ht="15" customHeight="1" s="71">
      <c r="A8" s="82">
        <f>IF(OR(Employés!A8="",Employés!N8&lt;&gt;"Actif"),"",Employés!A8)</f>
        <v/>
      </c>
      <c r="B8" s="82">
        <f>IF($A8="","",Employés!B8)</f>
        <v/>
      </c>
      <c r="C8" s="82">
        <f>IF($A8="","",Employés!C8)</f>
        <v/>
      </c>
      <c r="D8" s="83">
        <f>IF($A8="","",N(Employés!K8))</f>
        <v/>
      </c>
      <c r="E8" s="83">
        <f>IF($A8="","",N(Employés!L8))</f>
        <v/>
      </c>
      <c r="F8" s="83">
        <f>IF($A8="","",IF(Employés!U8&lt;&gt;"Oui",0,IF(N(Employés!R8)&gt;=N(Employés!T8),ROUND(D8*IF(N(Employés!S8)&gt;0,Employés!S8,TX_ANC_DEF),0),0)))</f>
        <v/>
      </c>
      <c r="G8" s="83">
        <f>IF($A8="","",SUMIFS('Retenues internes'!$F$41:$F$1040,'Retenues internes'!$A$41:$A$1040,PERIODE_DATE,'Retenues internes'!$B$41:$B$1040,$A8))</f>
        <v/>
      </c>
      <c r="H8" s="83">
        <f>IF($A8="","",MAX(D8+E8+F8-G8,0))</f>
        <v/>
      </c>
      <c r="I8" s="83">
        <f>IF($A8="","",MAX(N(Employés!M8)+F8-G8,0))</f>
        <v/>
      </c>
      <c r="J8" s="83">
        <f>IF($A8="","",MIN(ROUND(I8*COEF_ASSIETTE,0),PLAFOND_CNPS))</f>
        <v/>
      </c>
      <c r="K8" s="83">
        <f>IF($A8="","",ROUND(J8*TX_VID_SAL,0))</f>
        <v/>
      </c>
      <c r="L8" s="83">
        <f>IF($A8="","",ROUND(J8*TX_VID_PAT,0))</f>
        <v/>
      </c>
      <c r="M8" s="83">
        <f>IF($A8="","",ROUND(J8*TX_PF,0))</f>
        <v/>
      </c>
      <c r="N8" s="83">
        <f>IF($A8="","",ROUND(J8*TX_AT,0))</f>
        <v/>
      </c>
      <c r="O8" s="83">
        <f>IF($A8="","",ROUND(I8*TX_CFC_SAL,0))</f>
        <v/>
      </c>
      <c r="P8" s="83">
        <f>IF($A8="","",ROUND(I8*TX_CFC_PAT,0))</f>
        <v/>
      </c>
      <c r="Q8" s="83">
        <f>IF($A8="","",ROUND(I8*TX_FNE,0))</f>
        <v/>
      </c>
      <c r="R8" s="83">
        <f>IF($A8="","",IF(H8&lt;=TC_S1,TC_V1,IF(H8&lt;=TC_S2,TC_V2,TC_V3)))</f>
        <v/>
      </c>
      <c r="S8" s="83">
        <f>IF($A8="","",IF(H8&lt;=TC_S1,RAV_V1,IF(H8&lt;=TC_S2,RAV_V2,RAV_V3)))</f>
        <v/>
      </c>
      <c r="T8" s="83">
        <f>IF($A8="","",MAX(I8*12*(1-ABAT_PCT)-ABAT_FIXE,0)/IF(Employés!V8="Oui",MAX(N(Employés!Q8),1),1))</f>
        <v/>
      </c>
      <c r="U8" s="83">
        <f>IF($A8="","",ROUND((IF(T8&lt;=IRPP_P1,T8*IRPP_T1,IF(T8&lt;=IRPP_P2,IRPP_P1*IRPP_T1+(T8-IRPP_P1)*IRPP_T2,IF(T8&lt;=IRPP_P3,IRPP_P1*IRPP_T1+(IRPP_P2-IRPP_P1)*IRPP_T2+(T8-IRPP_P2)*IRPP_T3,IRPP_P1*IRPP_T1+(IRPP_P2-IRPP_P1)*IRPP_T2+(IRPP_P3-IRPP_P2)*IRPP_T3+(T8-IRPP_P3)*IRPP_T4))))*(1+TX_CAC)/12,0))</f>
        <v/>
      </c>
      <c r="V8" s="83">
        <f>IF($A8="","",SUMIFS('Retenues internes'!$D$41:$D$1040,'Retenues internes'!$A$41:$A$1040,PERIODE_DATE,'Retenues internes'!$B$41:$B$1040,$A8))</f>
        <v/>
      </c>
      <c r="W8" s="83">
        <f>IF($A8="","",SUMIFS('Retenues internes'!$E$41:$E$1040,'Retenues internes'!$A$41:$A$1040,PERIODE_DATE,'Retenues internes'!$B$41:$B$1040,$A8))</f>
        <v/>
      </c>
      <c r="X8" s="83">
        <f>IF($A8="","",SUMIFS('Retenues internes'!$G$41:$G$1040,'Retenues internes'!$A$41:$A$1040,PERIODE_DATE,'Retenues internes'!$B$41:$B$1040,$A8))</f>
        <v/>
      </c>
      <c r="Y8" s="83">
        <f>IF($A8="","",SUMIFS('Retenues internes'!$H$41:$H$1040,'Retenues internes'!$A$41:$A$1040,PERIODE_DATE,'Retenues internes'!$B$41:$B$1040,$A8))</f>
        <v/>
      </c>
      <c r="Z8" s="83">
        <f>IF($A8="","",V8+W8+X8+Y8)</f>
        <v/>
      </c>
      <c r="AA8" s="83">
        <f>IF($A8="","",K8+O8+R8+S8+U8)</f>
        <v/>
      </c>
      <c r="AB8" s="82">
        <f>IF($A8="","",L8+M8+N8+P8+Q8)</f>
        <v/>
      </c>
      <c r="AC8" s="83">
        <f>IF($A8="","",H8-AA8-Z8)</f>
        <v/>
      </c>
      <c r="AD8" s="83">
        <f>IF($A8="","",H8+AB8)</f>
        <v/>
      </c>
    </row>
    <row r="9" ht="15" customHeight="1" s="71">
      <c r="A9" s="82">
        <f>IF(OR(Employés!A9="",Employés!N9&lt;&gt;"Actif"),"",Employés!A9)</f>
        <v/>
      </c>
      <c r="B9" s="82">
        <f>IF($A9="","",Employés!B9)</f>
        <v/>
      </c>
      <c r="C9" s="82">
        <f>IF($A9="","",Employés!C9)</f>
        <v/>
      </c>
      <c r="D9" s="83">
        <f>IF($A9="","",N(Employés!K9))</f>
        <v/>
      </c>
      <c r="E9" s="83">
        <f>IF($A9="","",N(Employés!L9))</f>
        <v/>
      </c>
      <c r="F9" s="83">
        <f>IF($A9="","",IF(Employés!U9&lt;&gt;"Oui",0,IF(N(Employés!R9)&gt;=N(Employés!T9),ROUND(D9*IF(N(Employés!S9)&gt;0,Employés!S9,TX_ANC_DEF),0),0)))</f>
        <v/>
      </c>
      <c r="G9" s="83">
        <f>IF($A9="","",SUMIFS('Retenues internes'!$F$41:$F$1040,'Retenues internes'!$A$41:$A$1040,PERIODE_DATE,'Retenues internes'!$B$41:$B$1040,$A9))</f>
        <v/>
      </c>
      <c r="H9" s="83">
        <f>IF($A9="","",MAX(D9+E9+F9-G9,0))</f>
        <v/>
      </c>
      <c r="I9" s="83">
        <f>IF($A9="","",MAX(N(Employés!M9)+F9-G9,0))</f>
        <v/>
      </c>
      <c r="J9" s="83">
        <f>IF($A9="","",MIN(ROUND(I9*COEF_ASSIETTE,0),PLAFOND_CNPS))</f>
        <v/>
      </c>
      <c r="K9" s="83">
        <f>IF($A9="","",ROUND(J9*TX_VID_SAL,0))</f>
        <v/>
      </c>
      <c r="L9" s="83">
        <f>IF($A9="","",ROUND(J9*TX_VID_PAT,0))</f>
        <v/>
      </c>
      <c r="M9" s="83">
        <f>IF($A9="","",ROUND(J9*TX_PF,0))</f>
        <v/>
      </c>
      <c r="N9" s="83">
        <f>IF($A9="","",ROUND(J9*TX_AT,0))</f>
        <v/>
      </c>
      <c r="O9" s="83">
        <f>IF($A9="","",ROUND(I9*TX_CFC_SAL,0))</f>
        <v/>
      </c>
      <c r="P9" s="83">
        <f>IF($A9="","",ROUND(I9*TX_CFC_PAT,0))</f>
        <v/>
      </c>
      <c r="Q9" s="83">
        <f>IF($A9="","",ROUND(I9*TX_FNE,0))</f>
        <v/>
      </c>
      <c r="R9" s="83">
        <f>IF($A9="","",IF(H9&lt;=TC_S1,TC_V1,IF(H9&lt;=TC_S2,TC_V2,TC_V3)))</f>
        <v/>
      </c>
      <c r="S9" s="83">
        <f>IF($A9="","",IF(H9&lt;=TC_S1,RAV_V1,IF(H9&lt;=TC_S2,RAV_V2,RAV_V3)))</f>
        <v/>
      </c>
      <c r="T9" s="83">
        <f>IF($A9="","",MAX(I9*12*(1-ABAT_PCT)-ABAT_FIXE,0)/IF(Employés!V9="Oui",MAX(N(Employés!Q9),1),1))</f>
        <v/>
      </c>
      <c r="U9" s="83">
        <f>IF($A9="","",ROUND((IF(T9&lt;=IRPP_P1,T9*IRPP_T1,IF(T9&lt;=IRPP_P2,IRPP_P1*IRPP_T1+(T9-IRPP_P1)*IRPP_T2,IF(T9&lt;=IRPP_P3,IRPP_P1*IRPP_T1+(IRPP_P2-IRPP_P1)*IRPP_T2+(T9-IRPP_P2)*IRPP_T3,IRPP_P1*IRPP_T1+(IRPP_P2-IRPP_P1)*IRPP_T2+(IRPP_P3-IRPP_P2)*IRPP_T3+(T9-IRPP_P3)*IRPP_T4))))*(1+TX_CAC)/12,0))</f>
        <v/>
      </c>
      <c r="V9" s="83">
        <f>IF($A9="","",SUMIFS('Retenues internes'!$D$41:$D$1040,'Retenues internes'!$A$41:$A$1040,PERIODE_DATE,'Retenues internes'!$B$41:$B$1040,$A9))</f>
        <v/>
      </c>
      <c r="W9" s="83">
        <f>IF($A9="","",SUMIFS('Retenues internes'!$E$41:$E$1040,'Retenues internes'!$A$41:$A$1040,PERIODE_DATE,'Retenues internes'!$B$41:$B$1040,$A9))</f>
        <v/>
      </c>
      <c r="X9" s="83">
        <f>IF($A9="","",SUMIFS('Retenues internes'!$G$41:$G$1040,'Retenues internes'!$A$41:$A$1040,PERIODE_DATE,'Retenues internes'!$B$41:$B$1040,$A9))</f>
        <v/>
      </c>
      <c r="Y9" s="83">
        <f>IF($A9="","",SUMIFS('Retenues internes'!$H$41:$H$1040,'Retenues internes'!$A$41:$A$1040,PERIODE_DATE,'Retenues internes'!$B$41:$B$1040,$A9))</f>
        <v/>
      </c>
      <c r="Z9" s="83">
        <f>IF($A9="","",V9+W9+X9+Y9)</f>
        <v/>
      </c>
      <c r="AA9" s="83">
        <f>IF($A9="","",K9+O9+R9+S9+U9)</f>
        <v/>
      </c>
      <c r="AB9" s="82">
        <f>IF($A9="","",L9+M9+N9+P9+Q9)</f>
        <v/>
      </c>
      <c r="AC9" s="83">
        <f>IF($A9="","",H9-AA9-Z9)</f>
        <v/>
      </c>
      <c r="AD9" s="83">
        <f>IF($A9="","",H9+AB9)</f>
        <v/>
      </c>
    </row>
    <row r="10" ht="15" customHeight="1" s="71">
      <c r="A10" s="82">
        <f>IF(OR(Employés!A10="",Employés!N10&lt;&gt;"Actif"),"",Employés!A10)</f>
        <v/>
      </c>
      <c r="B10" s="82">
        <f>IF($A10="","",Employés!B10)</f>
        <v/>
      </c>
      <c r="C10" s="82">
        <f>IF($A10="","",Employés!C10)</f>
        <v/>
      </c>
      <c r="D10" s="83">
        <f>IF($A10="","",N(Employés!K10))</f>
        <v/>
      </c>
      <c r="E10" s="83">
        <f>IF($A10="","",N(Employés!L10))</f>
        <v/>
      </c>
      <c r="F10" s="83">
        <f>IF($A10="","",IF(Employés!U10&lt;&gt;"Oui",0,IF(N(Employés!R10)&gt;=N(Employés!T10),ROUND(D10*IF(N(Employés!S10)&gt;0,Employés!S10,TX_ANC_DEF),0),0)))</f>
        <v/>
      </c>
      <c r="G10" s="83">
        <f>IF($A10="","",SUMIFS('Retenues internes'!$F$41:$F$1040,'Retenues internes'!$A$41:$A$1040,PERIODE_DATE,'Retenues internes'!$B$41:$B$1040,$A10))</f>
        <v/>
      </c>
      <c r="H10" s="83">
        <f>IF($A10="","",MAX(D10+E10+F10-G10,0))</f>
        <v/>
      </c>
      <c r="I10" s="83">
        <f>IF($A10="","",MAX(N(Employés!M10)+F10-G10,0))</f>
        <v/>
      </c>
      <c r="J10" s="83">
        <f>IF($A10="","",MIN(ROUND(I10*COEF_ASSIETTE,0),PLAFOND_CNPS))</f>
        <v/>
      </c>
      <c r="K10" s="83">
        <f>IF($A10="","",ROUND(J10*TX_VID_SAL,0))</f>
        <v/>
      </c>
      <c r="L10" s="83">
        <f>IF($A10="","",ROUND(J10*TX_VID_PAT,0))</f>
        <v/>
      </c>
      <c r="M10" s="83">
        <f>IF($A10="","",ROUND(J10*TX_PF,0))</f>
        <v/>
      </c>
      <c r="N10" s="83">
        <f>IF($A10="","",ROUND(J10*TX_AT,0))</f>
        <v/>
      </c>
      <c r="O10" s="83">
        <f>IF($A10="","",ROUND(I10*TX_CFC_SAL,0))</f>
        <v/>
      </c>
      <c r="P10" s="83">
        <f>IF($A10="","",ROUND(I10*TX_CFC_PAT,0))</f>
        <v/>
      </c>
      <c r="Q10" s="83">
        <f>IF($A10="","",ROUND(I10*TX_FNE,0))</f>
        <v/>
      </c>
      <c r="R10" s="83">
        <f>IF($A10="","",IF(H10&lt;=TC_S1,TC_V1,IF(H10&lt;=TC_S2,TC_V2,TC_V3)))</f>
        <v/>
      </c>
      <c r="S10" s="83">
        <f>IF($A10="","",IF(H10&lt;=TC_S1,RAV_V1,IF(H10&lt;=TC_S2,RAV_V2,RAV_V3)))</f>
        <v/>
      </c>
      <c r="T10" s="83">
        <f>IF($A10="","",MAX(I10*12*(1-ABAT_PCT)-ABAT_FIXE,0)/IF(Employés!V10="Oui",MAX(N(Employés!Q10),1),1))</f>
        <v/>
      </c>
      <c r="U10" s="83">
        <f>IF($A10="","",ROUND((IF(T10&lt;=IRPP_P1,T10*IRPP_T1,IF(T10&lt;=IRPP_P2,IRPP_P1*IRPP_T1+(T10-IRPP_P1)*IRPP_T2,IF(T10&lt;=IRPP_P3,IRPP_P1*IRPP_T1+(IRPP_P2-IRPP_P1)*IRPP_T2+(T10-IRPP_P2)*IRPP_T3,IRPP_P1*IRPP_T1+(IRPP_P2-IRPP_P1)*IRPP_T2+(IRPP_P3-IRPP_P2)*IRPP_T3+(T10-IRPP_P3)*IRPP_T4))))*(1+TX_CAC)/12,0))</f>
        <v/>
      </c>
      <c r="V10" s="83">
        <f>IF($A10="","",SUMIFS('Retenues internes'!$D$41:$D$1040,'Retenues internes'!$A$41:$A$1040,PERIODE_DATE,'Retenues internes'!$B$41:$B$1040,$A10))</f>
        <v/>
      </c>
      <c r="W10" s="83">
        <f>IF($A10="","",SUMIFS('Retenues internes'!$E$41:$E$1040,'Retenues internes'!$A$41:$A$1040,PERIODE_DATE,'Retenues internes'!$B$41:$B$1040,$A10))</f>
        <v/>
      </c>
      <c r="X10" s="83">
        <f>IF($A10="","",SUMIFS('Retenues internes'!$G$41:$G$1040,'Retenues internes'!$A$41:$A$1040,PERIODE_DATE,'Retenues internes'!$B$41:$B$1040,$A10))</f>
        <v/>
      </c>
      <c r="Y10" s="83">
        <f>IF($A10="","",SUMIFS('Retenues internes'!$H$41:$H$1040,'Retenues internes'!$A$41:$A$1040,PERIODE_DATE,'Retenues internes'!$B$41:$B$1040,$A10))</f>
        <v/>
      </c>
      <c r="Z10" s="83">
        <f>IF($A10="","",V10+W10+X10+Y10)</f>
        <v/>
      </c>
      <c r="AA10" s="83">
        <f>IF($A10="","",K10+O10+R10+S10+U10)</f>
        <v/>
      </c>
      <c r="AB10" s="82">
        <f>IF($A10="","",L10+M10+N10+P10+Q10)</f>
        <v/>
      </c>
      <c r="AC10" s="83">
        <f>IF($A10="","",H10-AA10-Z10)</f>
        <v/>
      </c>
      <c r="AD10" s="83">
        <f>IF($A10="","",H10+AB10)</f>
        <v/>
      </c>
    </row>
    <row r="11" ht="15" customHeight="1" s="71">
      <c r="A11" s="82">
        <f>IF(OR(Employés!A11="",Employés!N11&lt;&gt;"Actif"),"",Employés!A11)</f>
        <v/>
      </c>
      <c r="B11" s="82">
        <f>IF($A11="","",Employés!B11)</f>
        <v/>
      </c>
      <c r="C11" s="82">
        <f>IF($A11="","",Employés!C11)</f>
        <v/>
      </c>
      <c r="D11" s="83">
        <f>IF($A11="","",N(Employés!K11))</f>
        <v/>
      </c>
      <c r="E11" s="83">
        <f>IF($A11="","",N(Employés!L11))</f>
        <v/>
      </c>
      <c r="F11" s="83">
        <f>IF($A11="","",IF(Employés!U11&lt;&gt;"Oui",0,IF(N(Employés!R11)&gt;=N(Employés!T11),ROUND(D11*IF(N(Employés!S11)&gt;0,Employés!S11,TX_ANC_DEF),0),0)))</f>
        <v/>
      </c>
      <c r="G11" s="83">
        <f>IF($A11="","",SUMIFS('Retenues internes'!$F$41:$F$1040,'Retenues internes'!$A$41:$A$1040,PERIODE_DATE,'Retenues internes'!$B$41:$B$1040,$A11))</f>
        <v/>
      </c>
      <c r="H11" s="83">
        <f>IF($A11="","",MAX(D11+E11+F11-G11,0))</f>
        <v/>
      </c>
      <c r="I11" s="83">
        <f>IF($A11="","",MAX(N(Employés!M11)+F11-G11,0))</f>
        <v/>
      </c>
      <c r="J11" s="83">
        <f>IF($A11="","",MIN(ROUND(I11*COEF_ASSIETTE,0),PLAFOND_CNPS))</f>
        <v/>
      </c>
      <c r="K11" s="83">
        <f>IF($A11="","",ROUND(J11*TX_VID_SAL,0))</f>
        <v/>
      </c>
      <c r="L11" s="83">
        <f>IF($A11="","",ROUND(J11*TX_VID_PAT,0))</f>
        <v/>
      </c>
      <c r="M11" s="83">
        <f>IF($A11="","",ROUND(J11*TX_PF,0))</f>
        <v/>
      </c>
      <c r="N11" s="83">
        <f>IF($A11="","",ROUND(J11*TX_AT,0))</f>
        <v/>
      </c>
      <c r="O11" s="83">
        <f>IF($A11="","",ROUND(I11*TX_CFC_SAL,0))</f>
        <v/>
      </c>
      <c r="P11" s="83">
        <f>IF($A11="","",ROUND(I11*TX_CFC_PAT,0))</f>
        <v/>
      </c>
      <c r="Q11" s="83">
        <f>IF($A11="","",ROUND(I11*TX_FNE,0))</f>
        <v/>
      </c>
      <c r="R11" s="83">
        <f>IF($A11="","",IF(H11&lt;=TC_S1,TC_V1,IF(H11&lt;=TC_S2,TC_V2,TC_V3)))</f>
        <v/>
      </c>
      <c r="S11" s="83">
        <f>IF($A11="","",IF(H11&lt;=TC_S1,RAV_V1,IF(H11&lt;=TC_S2,RAV_V2,RAV_V3)))</f>
        <v/>
      </c>
      <c r="T11" s="83">
        <f>IF($A11="","",MAX(I11*12*(1-ABAT_PCT)-ABAT_FIXE,0)/IF(Employés!V11="Oui",MAX(N(Employés!Q11),1),1))</f>
        <v/>
      </c>
      <c r="U11" s="83">
        <f>IF($A11="","",ROUND((IF(T11&lt;=IRPP_P1,T11*IRPP_T1,IF(T11&lt;=IRPP_P2,IRPP_P1*IRPP_T1+(T11-IRPP_P1)*IRPP_T2,IF(T11&lt;=IRPP_P3,IRPP_P1*IRPP_T1+(IRPP_P2-IRPP_P1)*IRPP_T2+(T11-IRPP_P2)*IRPP_T3,IRPP_P1*IRPP_T1+(IRPP_P2-IRPP_P1)*IRPP_T2+(IRPP_P3-IRPP_P2)*IRPP_T3+(T11-IRPP_P3)*IRPP_T4))))*(1+TX_CAC)/12,0))</f>
        <v/>
      </c>
      <c r="V11" s="83">
        <f>IF($A11="","",SUMIFS('Retenues internes'!$D$41:$D$1040,'Retenues internes'!$A$41:$A$1040,PERIODE_DATE,'Retenues internes'!$B$41:$B$1040,$A11))</f>
        <v/>
      </c>
      <c r="W11" s="83">
        <f>IF($A11="","",SUMIFS('Retenues internes'!$E$41:$E$1040,'Retenues internes'!$A$41:$A$1040,PERIODE_DATE,'Retenues internes'!$B$41:$B$1040,$A11))</f>
        <v/>
      </c>
      <c r="X11" s="83">
        <f>IF($A11="","",SUMIFS('Retenues internes'!$G$41:$G$1040,'Retenues internes'!$A$41:$A$1040,PERIODE_DATE,'Retenues internes'!$B$41:$B$1040,$A11))</f>
        <v/>
      </c>
      <c r="Y11" s="83">
        <f>IF($A11="","",SUMIFS('Retenues internes'!$H$41:$H$1040,'Retenues internes'!$A$41:$A$1040,PERIODE_DATE,'Retenues internes'!$B$41:$B$1040,$A11))</f>
        <v/>
      </c>
      <c r="Z11" s="83">
        <f>IF($A11="","",V11+W11+X11+Y11)</f>
        <v/>
      </c>
      <c r="AA11" s="83">
        <f>IF($A11="","",K11+O11+R11+S11+U11)</f>
        <v/>
      </c>
      <c r="AB11" s="82">
        <f>IF($A11="","",L11+M11+N11+P11+Q11)</f>
        <v/>
      </c>
      <c r="AC11" s="83">
        <f>IF($A11="","",H11-AA11-Z11)</f>
        <v/>
      </c>
      <c r="AD11" s="83">
        <f>IF($A11="","",H11+AB11)</f>
        <v/>
      </c>
    </row>
    <row r="12" ht="15" customHeight="1" s="71">
      <c r="A12" s="82">
        <f>IF(OR(Employés!A12="",Employés!N12&lt;&gt;"Actif"),"",Employés!A12)</f>
        <v/>
      </c>
      <c r="B12" s="82">
        <f>IF($A12="","",Employés!B12)</f>
        <v/>
      </c>
      <c r="C12" s="82">
        <f>IF($A12="","",Employés!C12)</f>
        <v/>
      </c>
      <c r="D12" s="83">
        <f>IF($A12="","",N(Employés!K12))</f>
        <v/>
      </c>
      <c r="E12" s="83">
        <f>IF($A12="","",N(Employés!L12))</f>
        <v/>
      </c>
      <c r="F12" s="83">
        <f>IF($A12="","",IF(Employés!U12&lt;&gt;"Oui",0,IF(N(Employés!R12)&gt;=N(Employés!T12),ROUND(D12*IF(N(Employés!S12)&gt;0,Employés!S12,TX_ANC_DEF),0),0)))</f>
        <v/>
      </c>
      <c r="G12" s="83">
        <f>IF($A12="","",SUMIFS('Retenues internes'!$F$41:$F$1040,'Retenues internes'!$A$41:$A$1040,PERIODE_DATE,'Retenues internes'!$B$41:$B$1040,$A12))</f>
        <v/>
      </c>
      <c r="H12" s="83">
        <f>IF($A12="","",MAX(D12+E12+F12-G12,0))</f>
        <v/>
      </c>
      <c r="I12" s="83">
        <f>IF($A12="","",MAX(N(Employés!M12)+F12-G12,0))</f>
        <v/>
      </c>
      <c r="J12" s="83">
        <f>IF($A12="","",MIN(ROUND(I12*COEF_ASSIETTE,0),PLAFOND_CNPS))</f>
        <v/>
      </c>
      <c r="K12" s="83">
        <f>IF($A12="","",ROUND(J12*TX_VID_SAL,0))</f>
        <v/>
      </c>
      <c r="L12" s="83">
        <f>IF($A12="","",ROUND(J12*TX_VID_PAT,0))</f>
        <v/>
      </c>
      <c r="M12" s="83">
        <f>IF($A12="","",ROUND(J12*TX_PF,0))</f>
        <v/>
      </c>
      <c r="N12" s="83">
        <f>IF($A12="","",ROUND(J12*TX_AT,0))</f>
        <v/>
      </c>
      <c r="O12" s="83">
        <f>IF($A12="","",ROUND(I12*TX_CFC_SAL,0))</f>
        <v/>
      </c>
      <c r="P12" s="83">
        <f>IF($A12="","",ROUND(I12*TX_CFC_PAT,0))</f>
        <v/>
      </c>
      <c r="Q12" s="83">
        <f>IF($A12="","",ROUND(I12*TX_FNE,0))</f>
        <v/>
      </c>
      <c r="R12" s="83">
        <f>IF($A12="","",IF(H12&lt;=TC_S1,TC_V1,IF(H12&lt;=TC_S2,TC_V2,TC_V3)))</f>
        <v/>
      </c>
      <c r="S12" s="83">
        <f>IF($A12="","",IF(H12&lt;=TC_S1,RAV_V1,IF(H12&lt;=TC_S2,RAV_V2,RAV_V3)))</f>
        <v/>
      </c>
      <c r="T12" s="83">
        <f>IF($A12="","",MAX(I12*12*(1-ABAT_PCT)-ABAT_FIXE,0)/IF(Employés!V12="Oui",MAX(N(Employés!Q12),1),1))</f>
        <v/>
      </c>
      <c r="U12" s="83">
        <f>IF($A12="","",ROUND((IF(T12&lt;=IRPP_P1,T12*IRPP_T1,IF(T12&lt;=IRPP_P2,IRPP_P1*IRPP_T1+(T12-IRPP_P1)*IRPP_T2,IF(T12&lt;=IRPP_P3,IRPP_P1*IRPP_T1+(IRPP_P2-IRPP_P1)*IRPP_T2+(T12-IRPP_P2)*IRPP_T3,IRPP_P1*IRPP_T1+(IRPP_P2-IRPP_P1)*IRPP_T2+(IRPP_P3-IRPP_P2)*IRPP_T3+(T12-IRPP_P3)*IRPP_T4))))*(1+TX_CAC)/12,0))</f>
        <v/>
      </c>
      <c r="V12" s="83">
        <f>IF($A12="","",SUMIFS('Retenues internes'!$D$41:$D$1040,'Retenues internes'!$A$41:$A$1040,PERIODE_DATE,'Retenues internes'!$B$41:$B$1040,$A12))</f>
        <v/>
      </c>
      <c r="W12" s="83">
        <f>IF($A12="","",SUMIFS('Retenues internes'!$E$41:$E$1040,'Retenues internes'!$A$41:$A$1040,PERIODE_DATE,'Retenues internes'!$B$41:$B$1040,$A12))</f>
        <v/>
      </c>
      <c r="X12" s="83">
        <f>IF($A12="","",SUMIFS('Retenues internes'!$G$41:$G$1040,'Retenues internes'!$A$41:$A$1040,PERIODE_DATE,'Retenues internes'!$B$41:$B$1040,$A12))</f>
        <v/>
      </c>
      <c r="Y12" s="83">
        <f>IF($A12="","",SUMIFS('Retenues internes'!$H$41:$H$1040,'Retenues internes'!$A$41:$A$1040,PERIODE_DATE,'Retenues internes'!$B$41:$B$1040,$A12))</f>
        <v/>
      </c>
      <c r="Z12" s="83">
        <f>IF($A12="","",V12+W12+X12+Y12)</f>
        <v/>
      </c>
      <c r="AA12" s="83">
        <f>IF($A12="","",K12+O12+R12+S12+U12)</f>
        <v/>
      </c>
      <c r="AB12" s="82">
        <f>IF($A12="","",L12+M12+N12+P12+Q12)</f>
        <v/>
      </c>
      <c r="AC12" s="83">
        <f>IF($A12="","",H12-AA12-Z12)</f>
        <v/>
      </c>
      <c r="AD12" s="83">
        <f>IF($A12="","",H12+AB12)</f>
        <v/>
      </c>
    </row>
    <row r="13" ht="15" customHeight="1" s="71">
      <c r="A13" s="82">
        <f>IF(OR(Employés!A13="",Employés!N13&lt;&gt;"Actif"),"",Employés!A13)</f>
        <v/>
      </c>
      <c r="B13" s="82">
        <f>IF($A13="","",Employés!B13)</f>
        <v/>
      </c>
      <c r="C13" s="82">
        <f>IF($A13="","",Employés!C13)</f>
        <v/>
      </c>
      <c r="D13" s="83">
        <f>IF($A13="","",N(Employés!K13))</f>
        <v/>
      </c>
      <c r="E13" s="83">
        <f>IF($A13="","",N(Employés!L13))</f>
        <v/>
      </c>
      <c r="F13" s="83">
        <f>IF($A13="","",IF(Employés!U13&lt;&gt;"Oui",0,IF(N(Employés!R13)&gt;=N(Employés!T13),ROUND(D13*IF(N(Employés!S13)&gt;0,Employés!S13,TX_ANC_DEF),0),0)))</f>
        <v/>
      </c>
      <c r="G13" s="83">
        <f>IF($A13="","",SUMIFS('Retenues internes'!$F$41:$F$1040,'Retenues internes'!$A$41:$A$1040,PERIODE_DATE,'Retenues internes'!$B$41:$B$1040,$A13))</f>
        <v/>
      </c>
      <c r="H13" s="83">
        <f>IF($A13="","",MAX(D13+E13+F13-G13,0))</f>
        <v/>
      </c>
      <c r="I13" s="83">
        <f>IF($A13="","",MAX(N(Employés!M13)+F13-G13,0))</f>
        <v/>
      </c>
      <c r="J13" s="83">
        <f>IF($A13="","",MIN(ROUND(I13*COEF_ASSIETTE,0),PLAFOND_CNPS))</f>
        <v/>
      </c>
      <c r="K13" s="83">
        <f>IF($A13="","",ROUND(J13*TX_VID_SAL,0))</f>
        <v/>
      </c>
      <c r="L13" s="83">
        <f>IF($A13="","",ROUND(J13*TX_VID_PAT,0))</f>
        <v/>
      </c>
      <c r="M13" s="83">
        <f>IF($A13="","",ROUND(J13*TX_PF,0))</f>
        <v/>
      </c>
      <c r="N13" s="83">
        <f>IF($A13="","",ROUND(J13*TX_AT,0))</f>
        <v/>
      </c>
      <c r="O13" s="83">
        <f>IF($A13="","",ROUND(I13*TX_CFC_SAL,0))</f>
        <v/>
      </c>
      <c r="P13" s="83">
        <f>IF($A13="","",ROUND(I13*TX_CFC_PAT,0))</f>
        <v/>
      </c>
      <c r="Q13" s="83">
        <f>IF($A13="","",ROUND(I13*TX_FNE,0))</f>
        <v/>
      </c>
      <c r="R13" s="83">
        <f>IF($A13="","",IF(H13&lt;=TC_S1,TC_V1,IF(H13&lt;=TC_S2,TC_V2,TC_V3)))</f>
        <v/>
      </c>
      <c r="S13" s="83">
        <f>IF($A13="","",IF(H13&lt;=TC_S1,RAV_V1,IF(H13&lt;=TC_S2,RAV_V2,RAV_V3)))</f>
        <v/>
      </c>
      <c r="T13" s="83">
        <f>IF($A13="","",MAX(I13*12*(1-ABAT_PCT)-ABAT_FIXE,0)/IF(Employés!V13="Oui",MAX(N(Employés!Q13),1),1))</f>
        <v/>
      </c>
      <c r="U13" s="83">
        <f>IF($A13="","",ROUND((IF(T13&lt;=IRPP_P1,T13*IRPP_T1,IF(T13&lt;=IRPP_P2,IRPP_P1*IRPP_T1+(T13-IRPP_P1)*IRPP_T2,IF(T13&lt;=IRPP_P3,IRPP_P1*IRPP_T1+(IRPP_P2-IRPP_P1)*IRPP_T2+(T13-IRPP_P2)*IRPP_T3,IRPP_P1*IRPP_T1+(IRPP_P2-IRPP_P1)*IRPP_T2+(IRPP_P3-IRPP_P2)*IRPP_T3+(T13-IRPP_P3)*IRPP_T4))))*(1+TX_CAC)/12,0))</f>
        <v/>
      </c>
      <c r="V13" s="83">
        <f>IF($A13="","",SUMIFS('Retenues internes'!$D$41:$D$1040,'Retenues internes'!$A$41:$A$1040,PERIODE_DATE,'Retenues internes'!$B$41:$B$1040,$A13))</f>
        <v/>
      </c>
      <c r="W13" s="83">
        <f>IF($A13="","",SUMIFS('Retenues internes'!$E$41:$E$1040,'Retenues internes'!$A$41:$A$1040,PERIODE_DATE,'Retenues internes'!$B$41:$B$1040,$A13))</f>
        <v/>
      </c>
      <c r="X13" s="83">
        <f>IF($A13="","",SUMIFS('Retenues internes'!$G$41:$G$1040,'Retenues internes'!$A$41:$A$1040,PERIODE_DATE,'Retenues internes'!$B$41:$B$1040,$A13))</f>
        <v/>
      </c>
      <c r="Y13" s="83">
        <f>IF($A13="","",SUMIFS('Retenues internes'!$H$41:$H$1040,'Retenues internes'!$A$41:$A$1040,PERIODE_DATE,'Retenues internes'!$B$41:$B$1040,$A13))</f>
        <v/>
      </c>
      <c r="Z13" s="83">
        <f>IF($A13="","",V13+W13+X13+Y13)</f>
        <v/>
      </c>
      <c r="AA13" s="83">
        <f>IF($A13="","",K13+O13+R13+S13+U13)</f>
        <v/>
      </c>
      <c r="AB13" s="82">
        <f>IF($A13="","",L13+M13+N13+P13+Q13)</f>
        <v/>
      </c>
      <c r="AC13" s="83">
        <f>IF($A13="","",H13-AA13-Z13)</f>
        <v/>
      </c>
      <c r="AD13" s="83">
        <f>IF($A13="","",H13+AB13)</f>
        <v/>
      </c>
    </row>
    <row r="14" ht="15" customHeight="1" s="71">
      <c r="A14" s="82">
        <f>IF(OR(Employés!A14="",Employés!N14&lt;&gt;"Actif"),"",Employés!A14)</f>
        <v/>
      </c>
      <c r="B14" s="82">
        <f>IF($A14="","",Employés!B14)</f>
        <v/>
      </c>
      <c r="C14" s="82">
        <f>IF($A14="","",Employés!C14)</f>
        <v/>
      </c>
      <c r="D14" s="83">
        <f>IF($A14="","",N(Employés!K14))</f>
        <v/>
      </c>
      <c r="E14" s="83">
        <f>IF($A14="","",N(Employés!L14))</f>
        <v/>
      </c>
      <c r="F14" s="83">
        <f>IF($A14="","",IF(Employés!U14&lt;&gt;"Oui",0,IF(N(Employés!R14)&gt;=N(Employés!T14),ROUND(D14*IF(N(Employés!S14)&gt;0,Employés!S14,TX_ANC_DEF),0),0)))</f>
        <v/>
      </c>
      <c r="G14" s="83">
        <f>IF($A14="","",SUMIFS('Retenues internes'!$F$41:$F$1040,'Retenues internes'!$A$41:$A$1040,PERIODE_DATE,'Retenues internes'!$B$41:$B$1040,$A14))</f>
        <v/>
      </c>
      <c r="H14" s="83">
        <f>IF($A14="","",MAX(D14+E14+F14-G14,0))</f>
        <v/>
      </c>
      <c r="I14" s="83">
        <f>IF($A14="","",MAX(N(Employés!M14)+F14-G14,0))</f>
        <v/>
      </c>
      <c r="J14" s="83">
        <f>IF($A14="","",MIN(ROUND(I14*COEF_ASSIETTE,0),PLAFOND_CNPS))</f>
        <v/>
      </c>
      <c r="K14" s="83">
        <f>IF($A14="","",ROUND(J14*TX_VID_SAL,0))</f>
        <v/>
      </c>
      <c r="L14" s="83">
        <f>IF($A14="","",ROUND(J14*TX_VID_PAT,0))</f>
        <v/>
      </c>
      <c r="M14" s="83">
        <f>IF($A14="","",ROUND(J14*TX_PF,0))</f>
        <v/>
      </c>
      <c r="N14" s="83">
        <f>IF($A14="","",ROUND(J14*TX_AT,0))</f>
        <v/>
      </c>
      <c r="O14" s="83">
        <f>IF($A14="","",ROUND(I14*TX_CFC_SAL,0))</f>
        <v/>
      </c>
      <c r="P14" s="83">
        <f>IF($A14="","",ROUND(I14*TX_CFC_PAT,0))</f>
        <v/>
      </c>
      <c r="Q14" s="83">
        <f>IF($A14="","",ROUND(I14*TX_FNE,0))</f>
        <v/>
      </c>
      <c r="R14" s="83">
        <f>IF($A14="","",IF(H14&lt;=TC_S1,TC_V1,IF(H14&lt;=TC_S2,TC_V2,TC_V3)))</f>
        <v/>
      </c>
      <c r="S14" s="83">
        <f>IF($A14="","",IF(H14&lt;=TC_S1,RAV_V1,IF(H14&lt;=TC_S2,RAV_V2,RAV_V3)))</f>
        <v/>
      </c>
      <c r="T14" s="83">
        <f>IF($A14="","",MAX(I14*12*(1-ABAT_PCT)-ABAT_FIXE,0)/IF(Employés!V14="Oui",MAX(N(Employés!Q14),1),1))</f>
        <v/>
      </c>
      <c r="U14" s="83">
        <f>IF($A14="","",ROUND((IF(T14&lt;=IRPP_P1,T14*IRPP_T1,IF(T14&lt;=IRPP_P2,IRPP_P1*IRPP_T1+(T14-IRPP_P1)*IRPP_T2,IF(T14&lt;=IRPP_P3,IRPP_P1*IRPP_T1+(IRPP_P2-IRPP_P1)*IRPP_T2+(T14-IRPP_P2)*IRPP_T3,IRPP_P1*IRPP_T1+(IRPP_P2-IRPP_P1)*IRPP_T2+(IRPP_P3-IRPP_P2)*IRPP_T3+(T14-IRPP_P3)*IRPP_T4))))*(1+TX_CAC)/12,0))</f>
        <v/>
      </c>
      <c r="V14" s="83">
        <f>IF($A14="","",SUMIFS('Retenues internes'!$D$41:$D$1040,'Retenues internes'!$A$41:$A$1040,PERIODE_DATE,'Retenues internes'!$B$41:$B$1040,$A14))</f>
        <v/>
      </c>
      <c r="W14" s="83">
        <f>IF($A14="","",SUMIFS('Retenues internes'!$E$41:$E$1040,'Retenues internes'!$A$41:$A$1040,PERIODE_DATE,'Retenues internes'!$B$41:$B$1040,$A14))</f>
        <v/>
      </c>
      <c r="X14" s="83">
        <f>IF($A14="","",SUMIFS('Retenues internes'!$G$41:$G$1040,'Retenues internes'!$A$41:$A$1040,PERIODE_DATE,'Retenues internes'!$B$41:$B$1040,$A14))</f>
        <v/>
      </c>
      <c r="Y14" s="83">
        <f>IF($A14="","",SUMIFS('Retenues internes'!$H$41:$H$1040,'Retenues internes'!$A$41:$A$1040,PERIODE_DATE,'Retenues internes'!$B$41:$B$1040,$A14))</f>
        <v/>
      </c>
      <c r="Z14" s="83">
        <f>IF($A14="","",V14+W14+X14+Y14)</f>
        <v/>
      </c>
      <c r="AA14" s="83">
        <f>IF($A14="","",K14+O14+R14+S14+U14)</f>
        <v/>
      </c>
      <c r="AB14" s="82">
        <f>IF($A14="","",L14+M14+N14+P14+Q14)</f>
        <v/>
      </c>
      <c r="AC14" s="83">
        <f>IF($A14="","",H14-AA14-Z14)</f>
        <v/>
      </c>
      <c r="AD14" s="83">
        <f>IF($A14="","",H14+AB14)</f>
        <v/>
      </c>
    </row>
    <row r="15" ht="15" customHeight="1" s="71">
      <c r="A15" s="82">
        <f>IF(OR(Employés!A15="",Employés!N15&lt;&gt;"Actif"),"",Employés!A15)</f>
        <v/>
      </c>
      <c r="B15" s="82">
        <f>IF($A15="","",Employés!B15)</f>
        <v/>
      </c>
      <c r="C15" s="82">
        <f>IF($A15="","",Employés!C15)</f>
        <v/>
      </c>
      <c r="D15" s="83">
        <f>IF($A15="","",N(Employés!K15))</f>
        <v/>
      </c>
      <c r="E15" s="83">
        <f>IF($A15="","",N(Employés!L15))</f>
        <v/>
      </c>
      <c r="F15" s="83">
        <f>IF($A15="","",IF(Employés!U15&lt;&gt;"Oui",0,IF(N(Employés!R15)&gt;=N(Employés!T15),ROUND(D15*IF(N(Employés!S15)&gt;0,Employés!S15,TX_ANC_DEF),0),0)))</f>
        <v/>
      </c>
      <c r="G15" s="83">
        <f>IF($A15="","",SUMIFS('Retenues internes'!$F$41:$F$1040,'Retenues internes'!$A$41:$A$1040,PERIODE_DATE,'Retenues internes'!$B$41:$B$1040,$A15))</f>
        <v/>
      </c>
      <c r="H15" s="83">
        <f>IF($A15="","",MAX(D15+E15+F15-G15,0))</f>
        <v/>
      </c>
      <c r="I15" s="83">
        <f>IF($A15="","",MAX(N(Employés!M15)+F15-G15,0))</f>
        <v/>
      </c>
      <c r="J15" s="83">
        <f>IF($A15="","",MIN(ROUND(I15*COEF_ASSIETTE,0),PLAFOND_CNPS))</f>
        <v/>
      </c>
      <c r="K15" s="83">
        <f>IF($A15="","",ROUND(J15*TX_VID_SAL,0))</f>
        <v/>
      </c>
      <c r="L15" s="83">
        <f>IF($A15="","",ROUND(J15*TX_VID_PAT,0))</f>
        <v/>
      </c>
      <c r="M15" s="83">
        <f>IF($A15="","",ROUND(J15*TX_PF,0))</f>
        <v/>
      </c>
      <c r="N15" s="83">
        <f>IF($A15="","",ROUND(J15*TX_AT,0))</f>
        <v/>
      </c>
      <c r="O15" s="83">
        <f>IF($A15="","",ROUND(I15*TX_CFC_SAL,0))</f>
        <v/>
      </c>
      <c r="P15" s="83">
        <f>IF($A15="","",ROUND(I15*TX_CFC_PAT,0))</f>
        <v/>
      </c>
      <c r="Q15" s="83">
        <f>IF($A15="","",ROUND(I15*TX_FNE,0))</f>
        <v/>
      </c>
      <c r="R15" s="83">
        <f>IF($A15="","",IF(H15&lt;=TC_S1,TC_V1,IF(H15&lt;=TC_S2,TC_V2,TC_V3)))</f>
        <v/>
      </c>
      <c r="S15" s="83">
        <f>IF($A15="","",IF(H15&lt;=TC_S1,RAV_V1,IF(H15&lt;=TC_S2,RAV_V2,RAV_V3)))</f>
        <v/>
      </c>
      <c r="T15" s="83">
        <f>IF($A15="","",MAX(I15*12*(1-ABAT_PCT)-ABAT_FIXE,0)/IF(Employés!V15="Oui",MAX(N(Employés!Q15),1),1))</f>
        <v/>
      </c>
      <c r="U15" s="83">
        <f>IF($A15="","",ROUND((IF(T15&lt;=IRPP_P1,T15*IRPP_T1,IF(T15&lt;=IRPP_P2,IRPP_P1*IRPP_T1+(T15-IRPP_P1)*IRPP_T2,IF(T15&lt;=IRPP_P3,IRPP_P1*IRPP_T1+(IRPP_P2-IRPP_P1)*IRPP_T2+(T15-IRPP_P2)*IRPP_T3,IRPP_P1*IRPP_T1+(IRPP_P2-IRPP_P1)*IRPP_T2+(IRPP_P3-IRPP_P2)*IRPP_T3+(T15-IRPP_P3)*IRPP_T4))))*(1+TX_CAC)/12,0))</f>
        <v/>
      </c>
      <c r="V15" s="83">
        <f>IF($A15="","",SUMIFS('Retenues internes'!$D$41:$D$1040,'Retenues internes'!$A$41:$A$1040,PERIODE_DATE,'Retenues internes'!$B$41:$B$1040,$A15))</f>
        <v/>
      </c>
      <c r="W15" s="83">
        <f>IF($A15="","",SUMIFS('Retenues internes'!$E$41:$E$1040,'Retenues internes'!$A$41:$A$1040,PERIODE_DATE,'Retenues internes'!$B$41:$B$1040,$A15))</f>
        <v/>
      </c>
      <c r="X15" s="83">
        <f>IF($A15="","",SUMIFS('Retenues internes'!$G$41:$G$1040,'Retenues internes'!$A$41:$A$1040,PERIODE_DATE,'Retenues internes'!$B$41:$B$1040,$A15))</f>
        <v/>
      </c>
      <c r="Y15" s="83">
        <f>IF($A15="","",SUMIFS('Retenues internes'!$H$41:$H$1040,'Retenues internes'!$A$41:$A$1040,PERIODE_DATE,'Retenues internes'!$B$41:$B$1040,$A15))</f>
        <v/>
      </c>
      <c r="Z15" s="83">
        <f>IF($A15="","",V15+W15+X15+Y15)</f>
        <v/>
      </c>
      <c r="AA15" s="83">
        <f>IF($A15="","",K15+O15+R15+S15+U15)</f>
        <v/>
      </c>
      <c r="AB15" s="82">
        <f>IF($A15="","",L15+M15+N15+P15+Q15)</f>
        <v/>
      </c>
      <c r="AC15" s="83">
        <f>IF($A15="","",H15-AA15-Z15)</f>
        <v/>
      </c>
      <c r="AD15" s="83">
        <f>IF($A15="","",H15+AB15)</f>
        <v/>
      </c>
    </row>
    <row r="16" ht="15" customHeight="1" s="71">
      <c r="A16" s="82">
        <f>IF(OR(Employés!A16="",Employés!N16&lt;&gt;"Actif"),"",Employés!A16)</f>
        <v/>
      </c>
      <c r="B16" s="82">
        <f>IF($A16="","",Employés!B16)</f>
        <v/>
      </c>
      <c r="C16" s="82">
        <f>IF($A16="","",Employés!C16)</f>
        <v/>
      </c>
      <c r="D16" s="83">
        <f>IF($A16="","",N(Employés!K16))</f>
        <v/>
      </c>
      <c r="E16" s="83">
        <f>IF($A16="","",N(Employés!L16))</f>
        <v/>
      </c>
      <c r="F16" s="83">
        <f>IF($A16="","",IF(Employés!U16&lt;&gt;"Oui",0,IF(N(Employés!R16)&gt;=N(Employés!T16),ROUND(D16*IF(N(Employés!S16)&gt;0,Employés!S16,TX_ANC_DEF),0),0)))</f>
        <v/>
      </c>
      <c r="G16" s="83">
        <f>IF($A16="","",SUMIFS('Retenues internes'!$F$41:$F$1040,'Retenues internes'!$A$41:$A$1040,PERIODE_DATE,'Retenues internes'!$B$41:$B$1040,$A16))</f>
        <v/>
      </c>
      <c r="H16" s="83">
        <f>IF($A16="","",MAX(D16+E16+F16-G16,0))</f>
        <v/>
      </c>
      <c r="I16" s="83">
        <f>IF($A16="","",MAX(N(Employés!M16)+F16-G16,0))</f>
        <v/>
      </c>
      <c r="J16" s="83">
        <f>IF($A16="","",MIN(ROUND(I16*COEF_ASSIETTE,0),PLAFOND_CNPS))</f>
        <v/>
      </c>
      <c r="K16" s="83">
        <f>IF($A16="","",ROUND(J16*TX_VID_SAL,0))</f>
        <v/>
      </c>
      <c r="L16" s="83">
        <f>IF($A16="","",ROUND(J16*TX_VID_PAT,0))</f>
        <v/>
      </c>
      <c r="M16" s="83">
        <f>IF($A16="","",ROUND(J16*TX_PF,0))</f>
        <v/>
      </c>
      <c r="N16" s="83">
        <f>IF($A16="","",ROUND(J16*TX_AT,0))</f>
        <v/>
      </c>
      <c r="O16" s="83">
        <f>IF($A16="","",ROUND(I16*TX_CFC_SAL,0))</f>
        <v/>
      </c>
      <c r="P16" s="83">
        <f>IF($A16="","",ROUND(I16*TX_CFC_PAT,0))</f>
        <v/>
      </c>
      <c r="Q16" s="83">
        <f>IF($A16="","",ROUND(I16*TX_FNE,0))</f>
        <v/>
      </c>
      <c r="R16" s="83">
        <f>IF($A16="","",IF(H16&lt;=TC_S1,TC_V1,IF(H16&lt;=TC_S2,TC_V2,TC_V3)))</f>
        <v/>
      </c>
      <c r="S16" s="83">
        <f>IF($A16="","",IF(H16&lt;=TC_S1,RAV_V1,IF(H16&lt;=TC_S2,RAV_V2,RAV_V3)))</f>
        <v/>
      </c>
      <c r="T16" s="83">
        <f>IF($A16="","",MAX(I16*12*(1-ABAT_PCT)-ABAT_FIXE,0)/IF(Employés!V16="Oui",MAX(N(Employés!Q16),1),1))</f>
        <v/>
      </c>
      <c r="U16" s="83">
        <f>IF($A16="","",ROUND((IF(T16&lt;=IRPP_P1,T16*IRPP_T1,IF(T16&lt;=IRPP_P2,IRPP_P1*IRPP_T1+(T16-IRPP_P1)*IRPP_T2,IF(T16&lt;=IRPP_P3,IRPP_P1*IRPP_T1+(IRPP_P2-IRPP_P1)*IRPP_T2+(T16-IRPP_P2)*IRPP_T3,IRPP_P1*IRPP_T1+(IRPP_P2-IRPP_P1)*IRPP_T2+(IRPP_P3-IRPP_P2)*IRPP_T3+(T16-IRPP_P3)*IRPP_T4))))*(1+TX_CAC)/12,0))</f>
        <v/>
      </c>
      <c r="V16" s="83">
        <f>IF($A16="","",SUMIFS('Retenues internes'!$D$41:$D$1040,'Retenues internes'!$A$41:$A$1040,PERIODE_DATE,'Retenues internes'!$B$41:$B$1040,$A16))</f>
        <v/>
      </c>
      <c r="W16" s="83">
        <f>IF($A16="","",SUMIFS('Retenues internes'!$E$41:$E$1040,'Retenues internes'!$A$41:$A$1040,PERIODE_DATE,'Retenues internes'!$B$41:$B$1040,$A16))</f>
        <v/>
      </c>
      <c r="X16" s="83">
        <f>IF($A16="","",SUMIFS('Retenues internes'!$G$41:$G$1040,'Retenues internes'!$A$41:$A$1040,PERIODE_DATE,'Retenues internes'!$B$41:$B$1040,$A16))</f>
        <v/>
      </c>
      <c r="Y16" s="83">
        <f>IF($A16="","",SUMIFS('Retenues internes'!$H$41:$H$1040,'Retenues internes'!$A$41:$A$1040,PERIODE_DATE,'Retenues internes'!$B$41:$B$1040,$A16))</f>
        <v/>
      </c>
      <c r="Z16" s="83">
        <f>IF($A16="","",V16+W16+X16+Y16)</f>
        <v/>
      </c>
      <c r="AA16" s="83">
        <f>IF($A16="","",K16+O16+R16+S16+U16)</f>
        <v/>
      </c>
      <c r="AB16" s="82">
        <f>IF($A16="","",L16+M16+N16+P16+Q16)</f>
        <v/>
      </c>
      <c r="AC16" s="83">
        <f>IF($A16="","",H16-AA16-Z16)</f>
        <v/>
      </c>
      <c r="AD16" s="83">
        <f>IF($A16="","",H16+AB16)</f>
        <v/>
      </c>
    </row>
    <row r="17" ht="15" customHeight="1" s="71">
      <c r="A17" s="82">
        <f>IF(OR(Employés!A17="",Employés!N17&lt;&gt;"Actif"),"",Employés!A17)</f>
        <v/>
      </c>
      <c r="B17" s="82">
        <f>IF($A17="","",Employés!B17)</f>
        <v/>
      </c>
      <c r="C17" s="82">
        <f>IF($A17="","",Employés!C17)</f>
        <v/>
      </c>
      <c r="D17" s="83">
        <f>IF($A17="","",N(Employés!K17))</f>
        <v/>
      </c>
      <c r="E17" s="83">
        <f>IF($A17="","",N(Employés!L17))</f>
        <v/>
      </c>
      <c r="F17" s="83">
        <f>IF($A17="","",IF(Employés!U17&lt;&gt;"Oui",0,IF(N(Employés!R17)&gt;=N(Employés!T17),ROUND(D17*IF(N(Employés!S17)&gt;0,Employés!S17,TX_ANC_DEF),0),0)))</f>
        <v/>
      </c>
      <c r="G17" s="83">
        <f>IF($A17="","",SUMIFS('Retenues internes'!$F$41:$F$1040,'Retenues internes'!$A$41:$A$1040,PERIODE_DATE,'Retenues internes'!$B$41:$B$1040,$A17))</f>
        <v/>
      </c>
      <c r="H17" s="83">
        <f>IF($A17="","",MAX(D17+E17+F17-G17,0))</f>
        <v/>
      </c>
      <c r="I17" s="83">
        <f>IF($A17="","",MAX(N(Employés!M17)+F17-G17,0))</f>
        <v/>
      </c>
      <c r="J17" s="83">
        <f>IF($A17="","",MIN(ROUND(I17*COEF_ASSIETTE,0),PLAFOND_CNPS))</f>
        <v/>
      </c>
      <c r="K17" s="83">
        <f>IF($A17="","",ROUND(J17*TX_VID_SAL,0))</f>
        <v/>
      </c>
      <c r="L17" s="83">
        <f>IF($A17="","",ROUND(J17*TX_VID_PAT,0))</f>
        <v/>
      </c>
      <c r="M17" s="83">
        <f>IF($A17="","",ROUND(J17*TX_PF,0))</f>
        <v/>
      </c>
      <c r="N17" s="83">
        <f>IF($A17="","",ROUND(J17*TX_AT,0))</f>
        <v/>
      </c>
      <c r="O17" s="83">
        <f>IF($A17="","",ROUND(I17*TX_CFC_SAL,0))</f>
        <v/>
      </c>
      <c r="P17" s="83">
        <f>IF($A17="","",ROUND(I17*TX_CFC_PAT,0))</f>
        <v/>
      </c>
      <c r="Q17" s="83">
        <f>IF($A17="","",ROUND(I17*TX_FNE,0))</f>
        <v/>
      </c>
      <c r="R17" s="83">
        <f>IF($A17="","",IF(H17&lt;=TC_S1,TC_V1,IF(H17&lt;=TC_S2,TC_V2,TC_V3)))</f>
        <v/>
      </c>
      <c r="S17" s="83">
        <f>IF($A17="","",IF(H17&lt;=TC_S1,RAV_V1,IF(H17&lt;=TC_S2,RAV_V2,RAV_V3)))</f>
        <v/>
      </c>
      <c r="T17" s="83">
        <f>IF($A17="","",MAX(I17*12*(1-ABAT_PCT)-ABAT_FIXE,0)/IF(Employés!V17="Oui",MAX(N(Employés!Q17),1),1))</f>
        <v/>
      </c>
      <c r="U17" s="83">
        <f>IF($A17="","",ROUND((IF(T17&lt;=IRPP_P1,T17*IRPP_T1,IF(T17&lt;=IRPP_P2,IRPP_P1*IRPP_T1+(T17-IRPP_P1)*IRPP_T2,IF(T17&lt;=IRPP_P3,IRPP_P1*IRPP_T1+(IRPP_P2-IRPP_P1)*IRPP_T2+(T17-IRPP_P2)*IRPP_T3,IRPP_P1*IRPP_T1+(IRPP_P2-IRPP_P1)*IRPP_T2+(IRPP_P3-IRPP_P2)*IRPP_T3+(T17-IRPP_P3)*IRPP_T4))))*(1+TX_CAC)/12,0))</f>
        <v/>
      </c>
      <c r="V17" s="83">
        <f>IF($A17="","",SUMIFS('Retenues internes'!$D$41:$D$1040,'Retenues internes'!$A$41:$A$1040,PERIODE_DATE,'Retenues internes'!$B$41:$B$1040,$A17))</f>
        <v/>
      </c>
      <c r="W17" s="83">
        <f>IF($A17="","",SUMIFS('Retenues internes'!$E$41:$E$1040,'Retenues internes'!$A$41:$A$1040,PERIODE_DATE,'Retenues internes'!$B$41:$B$1040,$A17))</f>
        <v/>
      </c>
      <c r="X17" s="83">
        <f>IF($A17="","",SUMIFS('Retenues internes'!$G$41:$G$1040,'Retenues internes'!$A$41:$A$1040,PERIODE_DATE,'Retenues internes'!$B$41:$B$1040,$A17))</f>
        <v/>
      </c>
      <c r="Y17" s="83">
        <f>IF($A17="","",SUMIFS('Retenues internes'!$H$41:$H$1040,'Retenues internes'!$A$41:$A$1040,PERIODE_DATE,'Retenues internes'!$B$41:$B$1040,$A17))</f>
        <v/>
      </c>
      <c r="Z17" s="83">
        <f>IF($A17="","",V17+W17+X17+Y17)</f>
        <v/>
      </c>
      <c r="AA17" s="83">
        <f>IF($A17="","",K17+O17+R17+S17+U17)</f>
        <v/>
      </c>
      <c r="AB17" s="82">
        <f>IF($A17="","",L17+M17+N17+P17+Q17)</f>
        <v/>
      </c>
      <c r="AC17" s="83">
        <f>IF($A17="","",H17-AA17-Z17)</f>
        <v/>
      </c>
      <c r="AD17" s="83">
        <f>IF($A17="","",H17+AB17)</f>
        <v/>
      </c>
    </row>
    <row r="18" ht="15" customHeight="1" s="71">
      <c r="A18" s="82">
        <f>IF(OR(Employés!A18="",Employés!N18&lt;&gt;"Actif"),"",Employés!A18)</f>
        <v/>
      </c>
      <c r="B18" s="82">
        <f>IF($A18="","",Employés!B18)</f>
        <v/>
      </c>
      <c r="C18" s="82">
        <f>IF($A18="","",Employés!C18)</f>
        <v/>
      </c>
      <c r="D18" s="83">
        <f>IF($A18="","",N(Employés!K18))</f>
        <v/>
      </c>
      <c r="E18" s="83">
        <f>IF($A18="","",N(Employés!L18))</f>
        <v/>
      </c>
      <c r="F18" s="83">
        <f>IF($A18="","",IF(Employés!U18&lt;&gt;"Oui",0,IF(N(Employés!R18)&gt;=N(Employés!T18),ROUND(D18*IF(N(Employés!S18)&gt;0,Employés!S18,TX_ANC_DEF),0),0)))</f>
        <v/>
      </c>
      <c r="G18" s="83">
        <f>IF($A18="","",SUMIFS('Retenues internes'!$F$41:$F$1040,'Retenues internes'!$A$41:$A$1040,PERIODE_DATE,'Retenues internes'!$B$41:$B$1040,$A18))</f>
        <v/>
      </c>
      <c r="H18" s="83">
        <f>IF($A18="","",MAX(D18+E18+F18-G18,0))</f>
        <v/>
      </c>
      <c r="I18" s="83">
        <f>IF($A18="","",MAX(N(Employés!M18)+F18-G18,0))</f>
        <v/>
      </c>
      <c r="J18" s="83">
        <f>IF($A18="","",MIN(ROUND(I18*COEF_ASSIETTE,0),PLAFOND_CNPS))</f>
        <v/>
      </c>
      <c r="K18" s="83">
        <f>IF($A18="","",ROUND(J18*TX_VID_SAL,0))</f>
        <v/>
      </c>
      <c r="L18" s="83">
        <f>IF($A18="","",ROUND(J18*TX_VID_PAT,0))</f>
        <v/>
      </c>
      <c r="M18" s="83">
        <f>IF($A18="","",ROUND(J18*TX_PF,0))</f>
        <v/>
      </c>
      <c r="N18" s="83">
        <f>IF($A18="","",ROUND(J18*TX_AT,0))</f>
        <v/>
      </c>
      <c r="O18" s="83">
        <f>IF($A18="","",ROUND(I18*TX_CFC_SAL,0))</f>
        <v/>
      </c>
      <c r="P18" s="83">
        <f>IF($A18="","",ROUND(I18*TX_CFC_PAT,0))</f>
        <v/>
      </c>
      <c r="Q18" s="83">
        <f>IF($A18="","",ROUND(I18*TX_FNE,0))</f>
        <v/>
      </c>
      <c r="R18" s="83">
        <f>IF($A18="","",IF(H18&lt;=TC_S1,TC_V1,IF(H18&lt;=TC_S2,TC_V2,TC_V3)))</f>
        <v/>
      </c>
      <c r="S18" s="83">
        <f>IF($A18="","",IF(H18&lt;=TC_S1,RAV_V1,IF(H18&lt;=TC_S2,RAV_V2,RAV_V3)))</f>
        <v/>
      </c>
      <c r="T18" s="83">
        <f>IF($A18="","",MAX(I18*12*(1-ABAT_PCT)-ABAT_FIXE,0)/IF(Employés!V18="Oui",MAX(N(Employés!Q18),1),1))</f>
        <v/>
      </c>
      <c r="U18" s="83">
        <f>IF($A18="","",ROUND((IF(T18&lt;=IRPP_P1,T18*IRPP_T1,IF(T18&lt;=IRPP_P2,IRPP_P1*IRPP_T1+(T18-IRPP_P1)*IRPP_T2,IF(T18&lt;=IRPP_P3,IRPP_P1*IRPP_T1+(IRPP_P2-IRPP_P1)*IRPP_T2+(T18-IRPP_P2)*IRPP_T3,IRPP_P1*IRPP_T1+(IRPP_P2-IRPP_P1)*IRPP_T2+(IRPP_P3-IRPP_P2)*IRPP_T3+(T18-IRPP_P3)*IRPP_T4))))*(1+TX_CAC)/12,0))</f>
        <v/>
      </c>
      <c r="V18" s="83">
        <f>IF($A18="","",SUMIFS('Retenues internes'!$D$41:$D$1040,'Retenues internes'!$A$41:$A$1040,PERIODE_DATE,'Retenues internes'!$B$41:$B$1040,$A18))</f>
        <v/>
      </c>
      <c r="W18" s="83">
        <f>IF($A18="","",SUMIFS('Retenues internes'!$E$41:$E$1040,'Retenues internes'!$A$41:$A$1040,PERIODE_DATE,'Retenues internes'!$B$41:$B$1040,$A18))</f>
        <v/>
      </c>
      <c r="X18" s="83">
        <f>IF($A18="","",SUMIFS('Retenues internes'!$G$41:$G$1040,'Retenues internes'!$A$41:$A$1040,PERIODE_DATE,'Retenues internes'!$B$41:$B$1040,$A18))</f>
        <v/>
      </c>
      <c r="Y18" s="83">
        <f>IF($A18="","",SUMIFS('Retenues internes'!$H$41:$H$1040,'Retenues internes'!$A$41:$A$1040,PERIODE_DATE,'Retenues internes'!$B$41:$B$1040,$A18))</f>
        <v/>
      </c>
      <c r="Z18" s="83">
        <f>IF($A18="","",V18+W18+X18+Y18)</f>
        <v/>
      </c>
      <c r="AA18" s="83">
        <f>IF($A18="","",K18+O18+R18+S18+U18)</f>
        <v/>
      </c>
      <c r="AB18" s="82">
        <f>IF($A18="","",L18+M18+N18+P18+Q18)</f>
        <v/>
      </c>
      <c r="AC18" s="83">
        <f>IF($A18="","",H18-AA18-Z18)</f>
        <v/>
      </c>
      <c r="AD18" s="83">
        <f>IF($A18="","",H18+AB18)</f>
        <v/>
      </c>
    </row>
    <row r="19" ht="15" customHeight="1" s="71">
      <c r="A19" s="82">
        <f>IF(OR(Employés!A19="",Employés!N19&lt;&gt;"Actif"),"",Employés!A19)</f>
        <v/>
      </c>
      <c r="B19" s="82">
        <f>IF($A19="","",Employés!B19)</f>
        <v/>
      </c>
      <c r="C19" s="82">
        <f>IF($A19="","",Employés!C19)</f>
        <v/>
      </c>
      <c r="D19" s="83">
        <f>IF($A19="","",N(Employés!K19))</f>
        <v/>
      </c>
      <c r="E19" s="83">
        <f>IF($A19="","",N(Employés!L19))</f>
        <v/>
      </c>
      <c r="F19" s="83">
        <f>IF($A19="","",IF(Employés!U19&lt;&gt;"Oui",0,IF(N(Employés!R19)&gt;=N(Employés!T19),ROUND(D19*IF(N(Employés!S19)&gt;0,Employés!S19,TX_ANC_DEF),0),0)))</f>
        <v/>
      </c>
      <c r="G19" s="83">
        <f>IF($A19="","",SUMIFS('Retenues internes'!$F$41:$F$1040,'Retenues internes'!$A$41:$A$1040,PERIODE_DATE,'Retenues internes'!$B$41:$B$1040,$A19))</f>
        <v/>
      </c>
      <c r="H19" s="83">
        <f>IF($A19="","",MAX(D19+E19+F19-G19,0))</f>
        <v/>
      </c>
      <c r="I19" s="83">
        <f>IF($A19="","",MAX(N(Employés!M19)+F19-G19,0))</f>
        <v/>
      </c>
      <c r="J19" s="83">
        <f>IF($A19="","",MIN(ROUND(I19*COEF_ASSIETTE,0),PLAFOND_CNPS))</f>
        <v/>
      </c>
      <c r="K19" s="83">
        <f>IF($A19="","",ROUND(J19*TX_VID_SAL,0))</f>
        <v/>
      </c>
      <c r="L19" s="83">
        <f>IF($A19="","",ROUND(J19*TX_VID_PAT,0))</f>
        <v/>
      </c>
      <c r="M19" s="83">
        <f>IF($A19="","",ROUND(J19*TX_PF,0))</f>
        <v/>
      </c>
      <c r="N19" s="83">
        <f>IF($A19="","",ROUND(J19*TX_AT,0))</f>
        <v/>
      </c>
      <c r="O19" s="83">
        <f>IF($A19="","",ROUND(I19*TX_CFC_SAL,0))</f>
        <v/>
      </c>
      <c r="P19" s="83">
        <f>IF($A19="","",ROUND(I19*TX_CFC_PAT,0))</f>
        <v/>
      </c>
      <c r="Q19" s="83">
        <f>IF($A19="","",ROUND(I19*TX_FNE,0))</f>
        <v/>
      </c>
      <c r="R19" s="83">
        <f>IF($A19="","",IF(H19&lt;=TC_S1,TC_V1,IF(H19&lt;=TC_S2,TC_V2,TC_V3)))</f>
        <v/>
      </c>
      <c r="S19" s="83">
        <f>IF($A19="","",IF(H19&lt;=TC_S1,RAV_V1,IF(H19&lt;=TC_S2,RAV_V2,RAV_V3)))</f>
        <v/>
      </c>
      <c r="T19" s="83">
        <f>IF($A19="","",MAX(I19*12*(1-ABAT_PCT)-ABAT_FIXE,0)/IF(Employés!V19="Oui",MAX(N(Employés!Q19),1),1))</f>
        <v/>
      </c>
      <c r="U19" s="83">
        <f>IF($A19="","",ROUND((IF(T19&lt;=IRPP_P1,T19*IRPP_T1,IF(T19&lt;=IRPP_P2,IRPP_P1*IRPP_T1+(T19-IRPP_P1)*IRPP_T2,IF(T19&lt;=IRPP_P3,IRPP_P1*IRPP_T1+(IRPP_P2-IRPP_P1)*IRPP_T2+(T19-IRPP_P2)*IRPP_T3,IRPP_P1*IRPP_T1+(IRPP_P2-IRPP_P1)*IRPP_T2+(IRPP_P3-IRPP_P2)*IRPP_T3+(T19-IRPP_P3)*IRPP_T4))))*(1+TX_CAC)/12,0))</f>
        <v/>
      </c>
      <c r="V19" s="83">
        <f>IF($A19="","",SUMIFS('Retenues internes'!$D$41:$D$1040,'Retenues internes'!$A$41:$A$1040,PERIODE_DATE,'Retenues internes'!$B$41:$B$1040,$A19))</f>
        <v/>
      </c>
      <c r="W19" s="83">
        <f>IF($A19="","",SUMIFS('Retenues internes'!$E$41:$E$1040,'Retenues internes'!$A$41:$A$1040,PERIODE_DATE,'Retenues internes'!$B$41:$B$1040,$A19))</f>
        <v/>
      </c>
      <c r="X19" s="83">
        <f>IF($A19="","",SUMIFS('Retenues internes'!$G$41:$G$1040,'Retenues internes'!$A$41:$A$1040,PERIODE_DATE,'Retenues internes'!$B$41:$B$1040,$A19))</f>
        <v/>
      </c>
      <c r="Y19" s="83">
        <f>IF($A19="","",SUMIFS('Retenues internes'!$H$41:$H$1040,'Retenues internes'!$A$41:$A$1040,PERIODE_DATE,'Retenues internes'!$B$41:$B$1040,$A19))</f>
        <v/>
      </c>
      <c r="Z19" s="83">
        <f>IF($A19="","",V19+W19+X19+Y19)</f>
        <v/>
      </c>
      <c r="AA19" s="83">
        <f>IF($A19="","",K19+O19+R19+S19+U19)</f>
        <v/>
      </c>
      <c r="AB19" s="82">
        <f>IF($A19="","",L19+M19+N19+P19+Q19)</f>
        <v/>
      </c>
      <c r="AC19" s="83">
        <f>IF($A19="","",H19-AA19-Z19)</f>
        <v/>
      </c>
      <c r="AD19" s="83">
        <f>IF($A19="","",H19+AB19)</f>
        <v/>
      </c>
    </row>
    <row r="20" ht="15" customHeight="1" s="71">
      <c r="A20" s="82">
        <f>IF(OR(Employés!A20="",Employés!N20&lt;&gt;"Actif"),"",Employés!A20)</f>
        <v/>
      </c>
      <c r="B20" s="82">
        <f>IF($A20="","",Employés!B20)</f>
        <v/>
      </c>
      <c r="C20" s="82">
        <f>IF($A20="","",Employés!C20)</f>
        <v/>
      </c>
      <c r="D20" s="83">
        <f>IF($A20="","",N(Employés!K20))</f>
        <v/>
      </c>
      <c r="E20" s="83">
        <f>IF($A20="","",N(Employés!L20))</f>
        <v/>
      </c>
      <c r="F20" s="83">
        <f>IF($A20="","",IF(Employés!U20&lt;&gt;"Oui",0,IF(N(Employés!R20)&gt;=N(Employés!T20),ROUND(D20*IF(N(Employés!S20)&gt;0,Employés!S20,TX_ANC_DEF),0),0)))</f>
        <v/>
      </c>
      <c r="G20" s="83">
        <f>IF($A20="","",SUMIFS('Retenues internes'!$F$41:$F$1040,'Retenues internes'!$A$41:$A$1040,PERIODE_DATE,'Retenues internes'!$B$41:$B$1040,$A20))</f>
        <v/>
      </c>
      <c r="H20" s="83">
        <f>IF($A20="","",MAX(D20+E20+F20-G20,0))</f>
        <v/>
      </c>
      <c r="I20" s="83">
        <f>IF($A20="","",MAX(N(Employés!M20)+F20-G20,0))</f>
        <v/>
      </c>
      <c r="J20" s="83">
        <f>IF($A20="","",MIN(ROUND(I20*COEF_ASSIETTE,0),PLAFOND_CNPS))</f>
        <v/>
      </c>
      <c r="K20" s="83">
        <f>IF($A20="","",ROUND(J20*TX_VID_SAL,0))</f>
        <v/>
      </c>
      <c r="L20" s="83">
        <f>IF($A20="","",ROUND(J20*TX_VID_PAT,0))</f>
        <v/>
      </c>
      <c r="M20" s="83">
        <f>IF($A20="","",ROUND(J20*TX_PF,0))</f>
        <v/>
      </c>
      <c r="N20" s="83">
        <f>IF($A20="","",ROUND(J20*TX_AT,0))</f>
        <v/>
      </c>
      <c r="O20" s="83">
        <f>IF($A20="","",ROUND(I20*TX_CFC_SAL,0))</f>
        <v/>
      </c>
      <c r="P20" s="83">
        <f>IF($A20="","",ROUND(I20*TX_CFC_PAT,0))</f>
        <v/>
      </c>
      <c r="Q20" s="83">
        <f>IF($A20="","",ROUND(I20*TX_FNE,0))</f>
        <v/>
      </c>
      <c r="R20" s="83">
        <f>IF($A20="","",IF(H20&lt;=TC_S1,TC_V1,IF(H20&lt;=TC_S2,TC_V2,TC_V3)))</f>
        <v/>
      </c>
      <c r="S20" s="83">
        <f>IF($A20="","",IF(H20&lt;=TC_S1,RAV_V1,IF(H20&lt;=TC_S2,RAV_V2,RAV_V3)))</f>
        <v/>
      </c>
      <c r="T20" s="83">
        <f>IF($A20="","",MAX(I20*12*(1-ABAT_PCT)-ABAT_FIXE,0)/IF(Employés!V20="Oui",MAX(N(Employés!Q20),1),1))</f>
        <v/>
      </c>
      <c r="U20" s="83">
        <f>IF($A20="","",ROUND((IF(T20&lt;=IRPP_P1,T20*IRPP_T1,IF(T20&lt;=IRPP_P2,IRPP_P1*IRPP_T1+(T20-IRPP_P1)*IRPP_T2,IF(T20&lt;=IRPP_P3,IRPP_P1*IRPP_T1+(IRPP_P2-IRPP_P1)*IRPP_T2+(T20-IRPP_P2)*IRPP_T3,IRPP_P1*IRPP_T1+(IRPP_P2-IRPP_P1)*IRPP_T2+(IRPP_P3-IRPP_P2)*IRPP_T3+(T20-IRPP_P3)*IRPP_T4))))*(1+TX_CAC)/12,0))</f>
        <v/>
      </c>
      <c r="V20" s="83">
        <f>IF($A20="","",SUMIFS('Retenues internes'!$D$41:$D$1040,'Retenues internes'!$A$41:$A$1040,PERIODE_DATE,'Retenues internes'!$B$41:$B$1040,$A20))</f>
        <v/>
      </c>
      <c r="W20" s="83">
        <f>IF($A20="","",SUMIFS('Retenues internes'!$E$41:$E$1040,'Retenues internes'!$A$41:$A$1040,PERIODE_DATE,'Retenues internes'!$B$41:$B$1040,$A20))</f>
        <v/>
      </c>
      <c r="X20" s="83">
        <f>IF($A20="","",SUMIFS('Retenues internes'!$G$41:$G$1040,'Retenues internes'!$A$41:$A$1040,PERIODE_DATE,'Retenues internes'!$B$41:$B$1040,$A20))</f>
        <v/>
      </c>
      <c r="Y20" s="83">
        <f>IF($A20="","",SUMIFS('Retenues internes'!$H$41:$H$1040,'Retenues internes'!$A$41:$A$1040,PERIODE_DATE,'Retenues internes'!$B$41:$B$1040,$A20))</f>
        <v/>
      </c>
      <c r="Z20" s="83">
        <f>IF($A20="","",V20+W20+X20+Y20)</f>
        <v/>
      </c>
      <c r="AA20" s="83">
        <f>IF($A20="","",K20+O20+R20+S20+U20)</f>
        <v/>
      </c>
      <c r="AB20" s="82">
        <f>IF($A20="","",L20+M20+N20+P20+Q20)</f>
        <v/>
      </c>
      <c r="AC20" s="83">
        <f>IF($A20="","",H20-AA20-Z20)</f>
        <v/>
      </c>
      <c r="AD20" s="83">
        <f>IF($A20="","",H20+AB20)</f>
        <v/>
      </c>
    </row>
    <row r="21" ht="15" customHeight="1" s="71">
      <c r="A21" s="82">
        <f>IF(OR(Employés!A21="",Employés!N21&lt;&gt;"Actif"),"",Employés!A21)</f>
        <v/>
      </c>
      <c r="B21" s="82">
        <f>IF($A21="","",Employés!B21)</f>
        <v/>
      </c>
      <c r="C21" s="82">
        <f>IF($A21="","",Employés!C21)</f>
        <v/>
      </c>
      <c r="D21" s="83">
        <f>IF($A21="","",N(Employés!K21))</f>
        <v/>
      </c>
      <c r="E21" s="83">
        <f>IF($A21="","",N(Employés!L21))</f>
        <v/>
      </c>
      <c r="F21" s="83">
        <f>IF($A21="","",IF(Employés!U21&lt;&gt;"Oui",0,IF(N(Employés!R21)&gt;=N(Employés!T21),ROUND(D21*IF(N(Employés!S21)&gt;0,Employés!S21,TX_ANC_DEF),0),0)))</f>
        <v/>
      </c>
      <c r="G21" s="83">
        <f>IF($A21="","",SUMIFS('Retenues internes'!$F$41:$F$1040,'Retenues internes'!$A$41:$A$1040,PERIODE_DATE,'Retenues internes'!$B$41:$B$1040,$A21))</f>
        <v/>
      </c>
      <c r="H21" s="83">
        <f>IF($A21="","",MAX(D21+E21+F21-G21,0))</f>
        <v/>
      </c>
      <c r="I21" s="83">
        <f>IF($A21="","",MAX(N(Employés!M21)+F21-G21,0))</f>
        <v/>
      </c>
      <c r="J21" s="83">
        <f>IF($A21="","",MIN(ROUND(I21*COEF_ASSIETTE,0),PLAFOND_CNPS))</f>
        <v/>
      </c>
      <c r="K21" s="83">
        <f>IF($A21="","",ROUND(J21*TX_VID_SAL,0))</f>
        <v/>
      </c>
      <c r="L21" s="83">
        <f>IF($A21="","",ROUND(J21*TX_VID_PAT,0))</f>
        <v/>
      </c>
      <c r="M21" s="83">
        <f>IF($A21="","",ROUND(J21*TX_PF,0))</f>
        <v/>
      </c>
      <c r="N21" s="83">
        <f>IF($A21="","",ROUND(J21*TX_AT,0))</f>
        <v/>
      </c>
      <c r="O21" s="83">
        <f>IF($A21="","",ROUND(I21*TX_CFC_SAL,0))</f>
        <v/>
      </c>
      <c r="P21" s="83">
        <f>IF($A21="","",ROUND(I21*TX_CFC_PAT,0))</f>
        <v/>
      </c>
      <c r="Q21" s="83">
        <f>IF($A21="","",ROUND(I21*TX_FNE,0))</f>
        <v/>
      </c>
      <c r="R21" s="83">
        <f>IF($A21="","",IF(H21&lt;=TC_S1,TC_V1,IF(H21&lt;=TC_S2,TC_V2,TC_V3)))</f>
        <v/>
      </c>
      <c r="S21" s="83">
        <f>IF($A21="","",IF(H21&lt;=TC_S1,RAV_V1,IF(H21&lt;=TC_S2,RAV_V2,RAV_V3)))</f>
        <v/>
      </c>
      <c r="T21" s="83">
        <f>IF($A21="","",MAX(I21*12*(1-ABAT_PCT)-ABAT_FIXE,0)/IF(Employés!V21="Oui",MAX(N(Employés!Q21),1),1))</f>
        <v/>
      </c>
      <c r="U21" s="83">
        <f>IF($A21="","",ROUND((IF(T21&lt;=IRPP_P1,T21*IRPP_T1,IF(T21&lt;=IRPP_P2,IRPP_P1*IRPP_T1+(T21-IRPP_P1)*IRPP_T2,IF(T21&lt;=IRPP_P3,IRPP_P1*IRPP_T1+(IRPP_P2-IRPP_P1)*IRPP_T2+(T21-IRPP_P2)*IRPP_T3,IRPP_P1*IRPP_T1+(IRPP_P2-IRPP_P1)*IRPP_T2+(IRPP_P3-IRPP_P2)*IRPP_T3+(T21-IRPP_P3)*IRPP_T4))))*(1+TX_CAC)/12,0))</f>
        <v/>
      </c>
      <c r="V21" s="83">
        <f>IF($A21="","",SUMIFS('Retenues internes'!$D$41:$D$1040,'Retenues internes'!$A$41:$A$1040,PERIODE_DATE,'Retenues internes'!$B$41:$B$1040,$A21))</f>
        <v/>
      </c>
      <c r="W21" s="83">
        <f>IF($A21="","",SUMIFS('Retenues internes'!$E$41:$E$1040,'Retenues internes'!$A$41:$A$1040,PERIODE_DATE,'Retenues internes'!$B$41:$B$1040,$A21))</f>
        <v/>
      </c>
      <c r="X21" s="83">
        <f>IF($A21="","",SUMIFS('Retenues internes'!$G$41:$G$1040,'Retenues internes'!$A$41:$A$1040,PERIODE_DATE,'Retenues internes'!$B$41:$B$1040,$A21))</f>
        <v/>
      </c>
      <c r="Y21" s="83">
        <f>IF($A21="","",SUMIFS('Retenues internes'!$H$41:$H$1040,'Retenues internes'!$A$41:$A$1040,PERIODE_DATE,'Retenues internes'!$B$41:$B$1040,$A21))</f>
        <v/>
      </c>
      <c r="Z21" s="83">
        <f>IF($A21="","",V21+W21+X21+Y21)</f>
        <v/>
      </c>
      <c r="AA21" s="83">
        <f>IF($A21="","",K21+O21+R21+S21+U21)</f>
        <v/>
      </c>
      <c r="AB21" s="82">
        <f>IF($A21="","",L21+M21+N21+P21+Q21)</f>
        <v/>
      </c>
      <c r="AC21" s="83">
        <f>IF($A21="","",H21-AA21-Z21)</f>
        <v/>
      </c>
      <c r="AD21" s="83">
        <f>IF($A21="","",H21+AB21)</f>
        <v/>
      </c>
    </row>
    <row r="22" ht="15" customHeight="1" s="71">
      <c r="A22" s="82">
        <f>IF(OR(Employés!A22="",Employés!N22&lt;&gt;"Actif"),"",Employés!A22)</f>
        <v/>
      </c>
      <c r="B22" s="82">
        <f>IF($A22="","",Employés!B22)</f>
        <v/>
      </c>
      <c r="C22" s="82">
        <f>IF($A22="","",Employés!C22)</f>
        <v/>
      </c>
      <c r="D22" s="83">
        <f>IF($A22="","",N(Employés!K22))</f>
        <v/>
      </c>
      <c r="E22" s="83">
        <f>IF($A22="","",N(Employés!L22))</f>
        <v/>
      </c>
      <c r="F22" s="83">
        <f>IF($A22="","",IF(Employés!U22&lt;&gt;"Oui",0,IF(N(Employés!R22)&gt;=N(Employés!T22),ROUND(D22*IF(N(Employés!S22)&gt;0,Employés!S22,TX_ANC_DEF),0),0)))</f>
        <v/>
      </c>
      <c r="G22" s="83">
        <f>IF($A22="","",SUMIFS('Retenues internes'!$F$41:$F$1040,'Retenues internes'!$A$41:$A$1040,PERIODE_DATE,'Retenues internes'!$B$41:$B$1040,$A22))</f>
        <v/>
      </c>
      <c r="H22" s="83">
        <f>IF($A22="","",MAX(D22+E22+F22-G22,0))</f>
        <v/>
      </c>
      <c r="I22" s="83">
        <f>IF($A22="","",MAX(N(Employés!M22)+F22-G22,0))</f>
        <v/>
      </c>
      <c r="J22" s="83">
        <f>IF($A22="","",MIN(ROUND(I22*COEF_ASSIETTE,0),PLAFOND_CNPS))</f>
        <v/>
      </c>
      <c r="K22" s="83">
        <f>IF($A22="","",ROUND(J22*TX_VID_SAL,0))</f>
        <v/>
      </c>
      <c r="L22" s="83">
        <f>IF($A22="","",ROUND(J22*TX_VID_PAT,0))</f>
        <v/>
      </c>
      <c r="M22" s="83">
        <f>IF($A22="","",ROUND(J22*TX_PF,0))</f>
        <v/>
      </c>
      <c r="N22" s="83">
        <f>IF($A22="","",ROUND(J22*TX_AT,0))</f>
        <v/>
      </c>
      <c r="O22" s="83">
        <f>IF($A22="","",ROUND(I22*TX_CFC_SAL,0))</f>
        <v/>
      </c>
      <c r="P22" s="83">
        <f>IF($A22="","",ROUND(I22*TX_CFC_PAT,0))</f>
        <v/>
      </c>
      <c r="Q22" s="83">
        <f>IF($A22="","",ROUND(I22*TX_FNE,0))</f>
        <v/>
      </c>
      <c r="R22" s="83">
        <f>IF($A22="","",IF(H22&lt;=TC_S1,TC_V1,IF(H22&lt;=TC_S2,TC_V2,TC_V3)))</f>
        <v/>
      </c>
      <c r="S22" s="83">
        <f>IF($A22="","",IF(H22&lt;=TC_S1,RAV_V1,IF(H22&lt;=TC_S2,RAV_V2,RAV_V3)))</f>
        <v/>
      </c>
      <c r="T22" s="83">
        <f>IF($A22="","",MAX(I22*12*(1-ABAT_PCT)-ABAT_FIXE,0)/IF(Employés!V22="Oui",MAX(N(Employés!Q22),1),1))</f>
        <v/>
      </c>
      <c r="U22" s="83">
        <f>IF($A22="","",ROUND((IF(T22&lt;=IRPP_P1,T22*IRPP_T1,IF(T22&lt;=IRPP_P2,IRPP_P1*IRPP_T1+(T22-IRPP_P1)*IRPP_T2,IF(T22&lt;=IRPP_P3,IRPP_P1*IRPP_T1+(IRPP_P2-IRPP_P1)*IRPP_T2+(T22-IRPP_P2)*IRPP_T3,IRPP_P1*IRPP_T1+(IRPP_P2-IRPP_P1)*IRPP_T2+(IRPP_P3-IRPP_P2)*IRPP_T3+(T22-IRPP_P3)*IRPP_T4))))*(1+TX_CAC)/12,0))</f>
        <v/>
      </c>
      <c r="V22" s="83">
        <f>IF($A22="","",SUMIFS('Retenues internes'!$D$41:$D$1040,'Retenues internes'!$A$41:$A$1040,PERIODE_DATE,'Retenues internes'!$B$41:$B$1040,$A22))</f>
        <v/>
      </c>
      <c r="W22" s="83">
        <f>IF($A22="","",SUMIFS('Retenues internes'!$E$41:$E$1040,'Retenues internes'!$A$41:$A$1040,PERIODE_DATE,'Retenues internes'!$B$41:$B$1040,$A22))</f>
        <v/>
      </c>
      <c r="X22" s="83">
        <f>IF($A22="","",SUMIFS('Retenues internes'!$G$41:$G$1040,'Retenues internes'!$A$41:$A$1040,PERIODE_DATE,'Retenues internes'!$B$41:$B$1040,$A22))</f>
        <v/>
      </c>
      <c r="Y22" s="83">
        <f>IF($A22="","",SUMIFS('Retenues internes'!$H$41:$H$1040,'Retenues internes'!$A$41:$A$1040,PERIODE_DATE,'Retenues internes'!$B$41:$B$1040,$A22))</f>
        <v/>
      </c>
      <c r="Z22" s="83">
        <f>IF($A22="","",V22+W22+X22+Y22)</f>
        <v/>
      </c>
      <c r="AA22" s="83">
        <f>IF($A22="","",K22+O22+R22+S22+U22)</f>
        <v/>
      </c>
      <c r="AB22" s="82">
        <f>IF($A22="","",L22+M22+N22+P22+Q22)</f>
        <v/>
      </c>
      <c r="AC22" s="83">
        <f>IF($A22="","",H22-AA22-Z22)</f>
        <v/>
      </c>
      <c r="AD22" s="83">
        <f>IF($A22="","",H22+AB22)</f>
        <v/>
      </c>
    </row>
    <row r="23" ht="15" customHeight="1" s="71">
      <c r="A23" s="82">
        <f>IF(OR(Employés!A23="",Employés!N23&lt;&gt;"Actif"),"",Employés!A23)</f>
        <v/>
      </c>
      <c r="B23" s="82">
        <f>IF($A23="","",Employés!B23)</f>
        <v/>
      </c>
      <c r="C23" s="82">
        <f>IF($A23="","",Employés!C23)</f>
        <v/>
      </c>
      <c r="D23" s="83">
        <f>IF($A23="","",N(Employés!K23))</f>
        <v/>
      </c>
      <c r="E23" s="83">
        <f>IF($A23="","",N(Employés!L23))</f>
        <v/>
      </c>
      <c r="F23" s="83">
        <f>IF($A23="","",IF(Employés!U23&lt;&gt;"Oui",0,IF(N(Employés!R23)&gt;=N(Employés!T23),ROUND(D23*IF(N(Employés!S23)&gt;0,Employés!S23,TX_ANC_DEF),0),0)))</f>
        <v/>
      </c>
      <c r="G23" s="83">
        <f>IF($A23="","",SUMIFS('Retenues internes'!$F$41:$F$1040,'Retenues internes'!$A$41:$A$1040,PERIODE_DATE,'Retenues internes'!$B$41:$B$1040,$A23))</f>
        <v/>
      </c>
      <c r="H23" s="83">
        <f>IF($A23="","",MAX(D23+E23+F23-G23,0))</f>
        <v/>
      </c>
      <c r="I23" s="83">
        <f>IF($A23="","",MAX(N(Employés!M23)+F23-G23,0))</f>
        <v/>
      </c>
      <c r="J23" s="83">
        <f>IF($A23="","",MIN(ROUND(I23*COEF_ASSIETTE,0),PLAFOND_CNPS))</f>
        <v/>
      </c>
      <c r="K23" s="83">
        <f>IF($A23="","",ROUND(J23*TX_VID_SAL,0))</f>
        <v/>
      </c>
      <c r="L23" s="83">
        <f>IF($A23="","",ROUND(J23*TX_VID_PAT,0))</f>
        <v/>
      </c>
      <c r="M23" s="83">
        <f>IF($A23="","",ROUND(J23*TX_PF,0))</f>
        <v/>
      </c>
      <c r="N23" s="83">
        <f>IF($A23="","",ROUND(J23*TX_AT,0))</f>
        <v/>
      </c>
      <c r="O23" s="83">
        <f>IF($A23="","",ROUND(I23*TX_CFC_SAL,0))</f>
        <v/>
      </c>
      <c r="P23" s="83">
        <f>IF($A23="","",ROUND(I23*TX_CFC_PAT,0))</f>
        <v/>
      </c>
      <c r="Q23" s="83">
        <f>IF($A23="","",ROUND(I23*TX_FNE,0))</f>
        <v/>
      </c>
      <c r="R23" s="83">
        <f>IF($A23="","",IF(H23&lt;=TC_S1,TC_V1,IF(H23&lt;=TC_S2,TC_V2,TC_V3)))</f>
        <v/>
      </c>
      <c r="S23" s="83">
        <f>IF($A23="","",IF(H23&lt;=TC_S1,RAV_V1,IF(H23&lt;=TC_S2,RAV_V2,RAV_V3)))</f>
        <v/>
      </c>
      <c r="T23" s="83">
        <f>IF($A23="","",MAX(I23*12*(1-ABAT_PCT)-ABAT_FIXE,0)/IF(Employés!V23="Oui",MAX(N(Employés!Q23),1),1))</f>
        <v/>
      </c>
      <c r="U23" s="83">
        <f>IF($A23="","",ROUND((IF(T23&lt;=IRPP_P1,T23*IRPP_T1,IF(T23&lt;=IRPP_P2,IRPP_P1*IRPP_T1+(T23-IRPP_P1)*IRPP_T2,IF(T23&lt;=IRPP_P3,IRPP_P1*IRPP_T1+(IRPP_P2-IRPP_P1)*IRPP_T2+(T23-IRPP_P2)*IRPP_T3,IRPP_P1*IRPP_T1+(IRPP_P2-IRPP_P1)*IRPP_T2+(IRPP_P3-IRPP_P2)*IRPP_T3+(T23-IRPP_P3)*IRPP_T4))))*(1+TX_CAC)/12,0))</f>
        <v/>
      </c>
      <c r="V23" s="83">
        <f>IF($A23="","",SUMIFS('Retenues internes'!$D$41:$D$1040,'Retenues internes'!$A$41:$A$1040,PERIODE_DATE,'Retenues internes'!$B$41:$B$1040,$A23))</f>
        <v/>
      </c>
      <c r="W23" s="83">
        <f>IF($A23="","",SUMIFS('Retenues internes'!$E$41:$E$1040,'Retenues internes'!$A$41:$A$1040,PERIODE_DATE,'Retenues internes'!$B$41:$B$1040,$A23))</f>
        <v/>
      </c>
      <c r="X23" s="83">
        <f>IF($A23="","",SUMIFS('Retenues internes'!$G$41:$G$1040,'Retenues internes'!$A$41:$A$1040,PERIODE_DATE,'Retenues internes'!$B$41:$B$1040,$A23))</f>
        <v/>
      </c>
      <c r="Y23" s="83">
        <f>IF($A23="","",SUMIFS('Retenues internes'!$H$41:$H$1040,'Retenues internes'!$A$41:$A$1040,PERIODE_DATE,'Retenues internes'!$B$41:$B$1040,$A23))</f>
        <v/>
      </c>
      <c r="Z23" s="83">
        <f>IF($A23="","",V23+W23+X23+Y23)</f>
        <v/>
      </c>
      <c r="AA23" s="83">
        <f>IF($A23="","",K23+O23+R23+S23+U23)</f>
        <v/>
      </c>
      <c r="AB23" s="82">
        <f>IF($A23="","",L23+M23+N23+P23+Q23)</f>
        <v/>
      </c>
      <c r="AC23" s="83">
        <f>IF($A23="","",H23-AA23-Z23)</f>
        <v/>
      </c>
      <c r="AD23" s="83">
        <f>IF($A23="","",H23+AB23)</f>
        <v/>
      </c>
    </row>
    <row r="24" ht="15" customHeight="1" s="71">
      <c r="A24" s="82">
        <f>IF(OR(Employés!A24="",Employés!N24&lt;&gt;"Actif"),"",Employés!A24)</f>
        <v/>
      </c>
      <c r="B24" s="82">
        <f>IF($A24="","",Employés!B24)</f>
        <v/>
      </c>
      <c r="C24" s="82">
        <f>IF($A24="","",Employés!C24)</f>
        <v/>
      </c>
      <c r="D24" s="83">
        <f>IF($A24="","",N(Employés!K24))</f>
        <v/>
      </c>
      <c r="E24" s="83">
        <f>IF($A24="","",N(Employés!L24))</f>
        <v/>
      </c>
      <c r="F24" s="83">
        <f>IF($A24="","",IF(Employés!U24&lt;&gt;"Oui",0,IF(N(Employés!R24)&gt;=N(Employés!T24),ROUND(D24*IF(N(Employés!S24)&gt;0,Employés!S24,TX_ANC_DEF),0),0)))</f>
        <v/>
      </c>
      <c r="G24" s="83">
        <f>IF($A24="","",SUMIFS('Retenues internes'!$F$41:$F$1040,'Retenues internes'!$A$41:$A$1040,PERIODE_DATE,'Retenues internes'!$B$41:$B$1040,$A24))</f>
        <v/>
      </c>
      <c r="H24" s="83">
        <f>IF($A24="","",MAX(D24+E24+F24-G24,0))</f>
        <v/>
      </c>
      <c r="I24" s="83">
        <f>IF($A24="","",MAX(N(Employés!M24)+F24-G24,0))</f>
        <v/>
      </c>
      <c r="J24" s="83">
        <f>IF($A24="","",MIN(ROUND(I24*COEF_ASSIETTE,0),PLAFOND_CNPS))</f>
        <v/>
      </c>
      <c r="K24" s="83">
        <f>IF($A24="","",ROUND(J24*TX_VID_SAL,0))</f>
        <v/>
      </c>
      <c r="L24" s="83">
        <f>IF($A24="","",ROUND(J24*TX_VID_PAT,0))</f>
        <v/>
      </c>
      <c r="M24" s="83">
        <f>IF($A24="","",ROUND(J24*TX_PF,0))</f>
        <v/>
      </c>
      <c r="N24" s="83">
        <f>IF($A24="","",ROUND(J24*TX_AT,0))</f>
        <v/>
      </c>
      <c r="O24" s="83">
        <f>IF($A24="","",ROUND(I24*TX_CFC_SAL,0))</f>
        <v/>
      </c>
      <c r="P24" s="83">
        <f>IF($A24="","",ROUND(I24*TX_CFC_PAT,0))</f>
        <v/>
      </c>
      <c r="Q24" s="83">
        <f>IF($A24="","",ROUND(I24*TX_FNE,0))</f>
        <v/>
      </c>
      <c r="R24" s="83">
        <f>IF($A24="","",IF(H24&lt;=TC_S1,TC_V1,IF(H24&lt;=TC_S2,TC_V2,TC_V3)))</f>
        <v/>
      </c>
      <c r="S24" s="83">
        <f>IF($A24="","",IF(H24&lt;=TC_S1,RAV_V1,IF(H24&lt;=TC_S2,RAV_V2,RAV_V3)))</f>
        <v/>
      </c>
      <c r="T24" s="83">
        <f>IF($A24="","",MAX(I24*12*(1-ABAT_PCT)-ABAT_FIXE,0)/IF(Employés!V24="Oui",MAX(N(Employés!Q24),1),1))</f>
        <v/>
      </c>
      <c r="U24" s="83">
        <f>IF($A24="","",ROUND((IF(T24&lt;=IRPP_P1,T24*IRPP_T1,IF(T24&lt;=IRPP_P2,IRPP_P1*IRPP_T1+(T24-IRPP_P1)*IRPP_T2,IF(T24&lt;=IRPP_P3,IRPP_P1*IRPP_T1+(IRPP_P2-IRPP_P1)*IRPP_T2+(T24-IRPP_P2)*IRPP_T3,IRPP_P1*IRPP_T1+(IRPP_P2-IRPP_P1)*IRPP_T2+(IRPP_P3-IRPP_P2)*IRPP_T3+(T24-IRPP_P3)*IRPP_T4))))*(1+TX_CAC)/12,0))</f>
        <v/>
      </c>
      <c r="V24" s="83">
        <f>IF($A24="","",SUMIFS('Retenues internes'!$D$41:$D$1040,'Retenues internes'!$A$41:$A$1040,PERIODE_DATE,'Retenues internes'!$B$41:$B$1040,$A24))</f>
        <v/>
      </c>
      <c r="W24" s="83">
        <f>IF($A24="","",SUMIFS('Retenues internes'!$E$41:$E$1040,'Retenues internes'!$A$41:$A$1040,PERIODE_DATE,'Retenues internes'!$B$41:$B$1040,$A24))</f>
        <v/>
      </c>
      <c r="X24" s="83">
        <f>IF($A24="","",SUMIFS('Retenues internes'!$G$41:$G$1040,'Retenues internes'!$A$41:$A$1040,PERIODE_DATE,'Retenues internes'!$B$41:$B$1040,$A24))</f>
        <v/>
      </c>
      <c r="Y24" s="83">
        <f>IF($A24="","",SUMIFS('Retenues internes'!$H$41:$H$1040,'Retenues internes'!$A$41:$A$1040,PERIODE_DATE,'Retenues internes'!$B$41:$B$1040,$A24))</f>
        <v/>
      </c>
      <c r="Z24" s="83">
        <f>IF($A24="","",V24+W24+X24+Y24)</f>
        <v/>
      </c>
      <c r="AA24" s="83">
        <f>IF($A24="","",K24+O24+R24+S24+U24)</f>
        <v/>
      </c>
      <c r="AB24" s="82">
        <f>IF($A24="","",L24+M24+N24+P24+Q24)</f>
        <v/>
      </c>
      <c r="AC24" s="83">
        <f>IF($A24="","",H24-AA24-Z24)</f>
        <v/>
      </c>
      <c r="AD24" s="83">
        <f>IF($A24="","",H24+AB24)</f>
        <v/>
      </c>
    </row>
    <row r="25" ht="15" customHeight="1" s="71">
      <c r="A25" s="82">
        <f>IF(OR(Employés!A25="",Employés!N25&lt;&gt;"Actif"),"",Employés!A25)</f>
        <v/>
      </c>
      <c r="B25" s="82">
        <f>IF($A25="","",Employés!B25)</f>
        <v/>
      </c>
      <c r="C25" s="82">
        <f>IF($A25="","",Employés!C25)</f>
        <v/>
      </c>
      <c r="D25" s="83">
        <f>IF($A25="","",N(Employés!K25))</f>
        <v/>
      </c>
      <c r="E25" s="83">
        <f>IF($A25="","",N(Employés!L25))</f>
        <v/>
      </c>
      <c r="F25" s="83">
        <f>IF($A25="","",IF(Employés!U25&lt;&gt;"Oui",0,IF(N(Employés!R25)&gt;=N(Employés!T25),ROUND(D25*IF(N(Employés!S25)&gt;0,Employés!S25,TX_ANC_DEF),0),0)))</f>
        <v/>
      </c>
      <c r="G25" s="83">
        <f>IF($A25="","",SUMIFS('Retenues internes'!$F$41:$F$1040,'Retenues internes'!$A$41:$A$1040,PERIODE_DATE,'Retenues internes'!$B$41:$B$1040,$A25))</f>
        <v/>
      </c>
      <c r="H25" s="83">
        <f>IF($A25="","",MAX(D25+E25+F25-G25,0))</f>
        <v/>
      </c>
      <c r="I25" s="83">
        <f>IF($A25="","",MAX(N(Employés!M25)+F25-G25,0))</f>
        <v/>
      </c>
      <c r="J25" s="83">
        <f>IF($A25="","",MIN(ROUND(I25*COEF_ASSIETTE,0),PLAFOND_CNPS))</f>
        <v/>
      </c>
      <c r="K25" s="83">
        <f>IF($A25="","",ROUND(J25*TX_VID_SAL,0))</f>
        <v/>
      </c>
      <c r="L25" s="83">
        <f>IF($A25="","",ROUND(J25*TX_VID_PAT,0))</f>
        <v/>
      </c>
      <c r="M25" s="83">
        <f>IF($A25="","",ROUND(J25*TX_PF,0))</f>
        <v/>
      </c>
      <c r="N25" s="83">
        <f>IF($A25="","",ROUND(J25*TX_AT,0))</f>
        <v/>
      </c>
      <c r="O25" s="83">
        <f>IF($A25="","",ROUND(I25*TX_CFC_SAL,0))</f>
        <v/>
      </c>
      <c r="P25" s="83">
        <f>IF($A25="","",ROUND(I25*TX_CFC_PAT,0))</f>
        <v/>
      </c>
      <c r="Q25" s="83">
        <f>IF($A25="","",ROUND(I25*TX_FNE,0))</f>
        <v/>
      </c>
      <c r="R25" s="83">
        <f>IF($A25="","",IF(H25&lt;=TC_S1,TC_V1,IF(H25&lt;=TC_S2,TC_V2,TC_V3)))</f>
        <v/>
      </c>
      <c r="S25" s="83">
        <f>IF($A25="","",IF(H25&lt;=TC_S1,RAV_V1,IF(H25&lt;=TC_S2,RAV_V2,RAV_V3)))</f>
        <v/>
      </c>
      <c r="T25" s="83">
        <f>IF($A25="","",MAX(I25*12*(1-ABAT_PCT)-ABAT_FIXE,0)/IF(Employés!V25="Oui",MAX(N(Employés!Q25),1),1))</f>
        <v/>
      </c>
      <c r="U25" s="83">
        <f>IF($A25="","",ROUND((IF(T25&lt;=IRPP_P1,T25*IRPP_T1,IF(T25&lt;=IRPP_P2,IRPP_P1*IRPP_T1+(T25-IRPP_P1)*IRPP_T2,IF(T25&lt;=IRPP_P3,IRPP_P1*IRPP_T1+(IRPP_P2-IRPP_P1)*IRPP_T2+(T25-IRPP_P2)*IRPP_T3,IRPP_P1*IRPP_T1+(IRPP_P2-IRPP_P1)*IRPP_T2+(IRPP_P3-IRPP_P2)*IRPP_T3+(T25-IRPP_P3)*IRPP_T4))))*(1+TX_CAC)/12,0))</f>
        <v/>
      </c>
      <c r="V25" s="83">
        <f>IF($A25="","",SUMIFS('Retenues internes'!$D$41:$D$1040,'Retenues internes'!$A$41:$A$1040,PERIODE_DATE,'Retenues internes'!$B$41:$B$1040,$A25))</f>
        <v/>
      </c>
      <c r="W25" s="83">
        <f>IF($A25="","",SUMIFS('Retenues internes'!$E$41:$E$1040,'Retenues internes'!$A$41:$A$1040,PERIODE_DATE,'Retenues internes'!$B$41:$B$1040,$A25))</f>
        <v/>
      </c>
      <c r="X25" s="83">
        <f>IF($A25="","",SUMIFS('Retenues internes'!$G$41:$G$1040,'Retenues internes'!$A$41:$A$1040,PERIODE_DATE,'Retenues internes'!$B$41:$B$1040,$A25))</f>
        <v/>
      </c>
      <c r="Y25" s="83">
        <f>IF($A25="","",SUMIFS('Retenues internes'!$H$41:$H$1040,'Retenues internes'!$A$41:$A$1040,PERIODE_DATE,'Retenues internes'!$B$41:$B$1040,$A25))</f>
        <v/>
      </c>
      <c r="Z25" s="83">
        <f>IF($A25="","",V25+W25+X25+Y25)</f>
        <v/>
      </c>
      <c r="AA25" s="83">
        <f>IF($A25="","",K25+O25+R25+S25+U25)</f>
        <v/>
      </c>
      <c r="AB25" s="82">
        <f>IF($A25="","",L25+M25+N25+P25+Q25)</f>
        <v/>
      </c>
      <c r="AC25" s="83">
        <f>IF($A25="","",H25-AA25-Z25)</f>
        <v/>
      </c>
      <c r="AD25" s="83">
        <f>IF($A25="","",H25+AB25)</f>
        <v/>
      </c>
    </row>
    <row r="26" ht="15" customHeight="1" s="71">
      <c r="A26" s="82">
        <f>IF(OR(Employés!A26="",Employés!N26&lt;&gt;"Actif"),"",Employés!A26)</f>
        <v/>
      </c>
      <c r="B26" s="82">
        <f>IF($A26="","",Employés!B26)</f>
        <v/>
      </c>
      <c r="C26" s="82">
        <f>IF($A26="","",Employés!C26)</f>
        <v/>
      </c>
      <c r="D26" s="83">
        <f>IF($A26="","",N(Employés!K26))</f>
        <v/>
      </c>
      <c r="E26" s="83">
        <f>IF($A26="","",N(Employés!L26))</f>
        <v/>
      </c>
      <c r="F26" s="83">
        <f>IF($A26="","",IF(Employés!U26&lt;&gt;"Oui",0,IF(N(Employés!R26)&gt;=N(Employés!T26),ROUND(D26*IF(N(Employés!S26)&gt;0,Employés!S26,TX_ANC_DEF),0),0)))</f>
        <v/>
      </c>
      <c r="G26" s="83">
        <f>IF($A26="","",SUMIFS('Retenues internes'!$F$41:$F$1040,'Retenues internes'!$A$41:$A$1040,PERIODE_DATE,'Retenues internes'!$B$41:$B$1040,$A26))</f>
        <v/>
      </c>
      <c r="H26" s="83">
        <f>IF($A26="","",MAX(D26+E26+F26-G26,0))</f>
        <v/>
      </c>
      <c r="I26" s="83">
        <f>IF($A26="","",MAX(N(Employés!M26)+F26-G26,0))</f>
        <v/>
      </c>
      <c r="J26" s="83">
        <f>IF($A26="","",MIN(ROUND(I26*COEF_ASSIETTE,0),PLAFOND_CNPS))</f>
        <v/>
      </c>
      <c r="K26" s="83">
        <f>IF($A26="","",ROUND(J26*TX_VID_SAL,0))</f>
        <v/>
      </c>
      <c r="L26" s="83">
        <f>IF($A26="","",ROUND(J26*TX_VID_PAT,0))</f>
        <v/>
      </c>
      <c r="M26" s="83">
        <f>IF($A26="","",ROUND(J26*TX_PF,0))</f>
        <v/>
      </c>
      <c r="N26" s="83">
        <f>IF($A26="","",ROUND(J26*TX_AT,0))</f>
        <v/>
      </c>
      <c r="O26" s="83">
        <f>IF($A26="","",ROUND(I26*TX_CFC_SAL,0))</f>
        <v/>
      </c>
      <c r="P26" s="83">
        <f>IF($A26="","",ROUND(I26*TX_CFC_PAT,0))</f>
        <v/>
      </c>
      <c r="Q26" s="83">
        <f>IF($A26="","",ROUND(I26*TX_FNE,0))</f>
        <v/>
      </c>
      <c r="R26" s="83">
        <f>IF($A26="","",IF(H26&lt;=TC_S1,TC_V1,IF(H26&lt;=TC_S2,TC_V2,TC_V3)))</f>
        <v/>
      </c>
      <c r="S26" s="83">
        <f>IF($A26="","",IF(H26&lt;=TC_S1,RAV_V1,IF(H26&lt;=TC_S2,RAV_V2,RAV_V3)))</f>
        <v/>
      </c>
      <c r="T26" s="83">
        <f>IF($A26="","",MAX(I26*12*(1-ABAT_PCT)-ABAT_FIXE,0)/IF(Employés!V26="Oui",MAX(N(Employés!Q26),1),1))</f>
        <v/>
      </c>
      <c r="U26" s="83">
        <f>IF($A26="","",ROUND((IF(T26&lt;=IRPP_P1,T26*IRPP_T1,IF(T26&lt;=IRPP_P2,IRPP_P1*IRPP_T1+(T26-IRPP_P1)*IRPP_T2,IF(T26&lt;=IRPP_P3,IRPP_P1*IRPP_T1+(IRPP_P2-IRPP_P1)*IRPP_T2+(T26-IRPP_P2)*IRPP_T3,IRPP_P1*IRPP_T1+(IRPP_P2-IRPP_P1)*IRPP_T2+(IRPP_P3-IRPP_P2)*IRPP_T3+(T26-IRPP_P3)*IRPP_T4))))*(1+TX_CAC)/12,0))</f>
        <v/>
      </c>
      <c r="V26" s="83">
        <f>IF($A26="","",SUMIFS('Retenues internes'!$D$41:$D$1040,'Retenues internes'!$A$41:$A$1040,PERIODE_DATE,'Retenues internes'!$B$41:$B$1040,$A26))</f>
        <v/>
      </c>
      <c r="W26" s="83">
        <f>IF($A26="","",SUMIFS('Retenues internes'!$E$41:$E$1040,'Retenues internes'!$A$41:$A$1040,PERIODE_DATE,'Retenues internes'!$B$41:$B$1040,$A26))</f>
        <v/>
      </c>
      <c r="X26" s="83">
        <f>IF($A26="","",SUMIFS('Retenues internes'!$G$41:$G$1040,'Retenues internes'!$A$41:$A$1040,PERIODE_DATE,'Retenues internes'!$B$41:$B$1040,$A26))</f>
        <v/>
      </c>
      <c r="Y26" s="83">
        <f>IF($A26="","",SUMIFS('Retenues internes'!$H$41:$H$1040,'Retenues internes'!$A$41:$A$1040,PERIODE_DATE,'Retenues internes'!$B$41:$B$1040,$A26))</f>
        <v/>
      </c>
      <c r="Z26" s="83">
        <f>IF($A26="","",V26+W26+X26+Y26)</f>
        <v/>
      </c>
      <c r="AA26" s="83">
        <f>IF($A26="","",K26+O26+R26+S26+U26)</f>
        <v/>
      </c>
      <c r="AB26" s="82">
        <f>IF($A26="","",L26+M26+N26+P26+Q26)</f>
        <v/>
      </c>
      <c r="AC26" s="83">
        <f>IF($A26="","",H26-AA26-Z26)</f>
        <v/>
      </c>
      <c r="AD26" s="83">
        <f>IF($A26="","",H26+AB26)</f>
        <v/>
      </c>
    </row>
    <row r="27" ht="15" customHeight="1" s="71">
      <c r="A27" s="82">
        <f>IF(OR(Employés!A27="",Employés!N27&lt;&gt;"Actif"),"",Employés!A27)</f>
        <v/>
      </c>
      <c r="B27" s="82">
        <f>IF($A27="","",Employés!B27)</f>
        <v/>
      </c>
      <c r="C27" s="82">
        <f>IF($A27="","",Employés!C27)</f>
        <v/>
      </c>
      <c r="D27" s="83">
        <f>IF($A27="","",N(Employés!K27))</f>
        <v/>
      </c>
      <c r="E27" s="83">
        <f>IF($A27="","",N(Employés!L27))</f>
        <v/>
      </c>
      <c r="F27" s="83">
        <f>IF($A27="","",IF(Employés!U27&lt;&gt;"Oui",0,IF(N(Employés!R27)&gt;=N(Employés!T27),ROUND(D27*IF(N(Employés!S27)&gt;0,Employés!S27,TX_ANC_DEF),0),0)))</f>
        <v/>
      </c>
      <c r="G27" s="83">
        <f>IF($A27="","",SUMIFS('Retenues internes'!$F$41:$F$1040,'Retenues internes'!$A$41:$A$1040,PERIODE_DATE,'Retenues internes'!$B$41:$B$1040,$A27))</f>
        <v/>
      </c>
      <c r="H27" s="83">
        <f>IF($A27="","",MAX(D27+E27+F27-G27,0))</f>
        <v/>
      </c>
      <c r="I27" s="83">
        <f>IF($A27="","",MAX(N(Employés!M27)+F27-G27,0))</f>
        <v/>
      </c>
      <c r="J27" s="83">
        <f>IF($A27="","",MIN(ROUND(I27*COEF_ASSIETTE,0),PLAFOND_CNPS))</f>
        <v/>
      </c>
      <c r="K27" s="83">
        <f>IF($A27="","",ROUND(J27*TX_VID_SAL,0))</f>
        <v/>
      </c>
      <c r="L27" s="83">
        <f>IF($A27="","",ROUND(J27*TX_VID_PAT,0))</f>
        <v/>
      </c>
      <c r="M27" s="83">
        <f>IF($A27="","",ROUND(J27*TX_PF,0))</f>
        <v/>
      </c>
      <c r="N27" s="83">
        <f>IF($A27="","",ROUND(J27*TX_AT,0))</f>
        <v/>
      </c>
      <c r="O27" s="83">
        <f>IF($A27="","",ROUND(I27*TX_CFC_SAL,0))</f>
        <v/>
      </c>
      <c r="P27" s="83">
        <f>IF($A27="","",ROUND(I27*TX_CFC_PAT,0))</f>
        <v/>
      </c>
      <c r="Q27" s="83">
        <f>IF($A27="","",ROUND(I27*TX_FNE,0))</f>
        <v/>
      </c>
      <c r="R27" s="83">
        <f>IF($A27="","",IF(H27&lt;=TC_S1,TC_V1,IF(H27&lt;=TC_S2,TC_V2,TC_V3)))</f>
        <v/>
      </c>
      <c r="S27" s="83">
        <f>IF($A27="","",IF(H27&lt;=TC_S1,RAV_V1,IF(H27&lt;=TC_S2,RAV_V2,RAV_V3)))</f>
        <v/>
      </c>
      <c r="T27" s="83">
        <f>IF($A27="","",MAX(I27*12*(1-ABAT_PCT)-ABAT_FIXE,0)/IF(Employés!V27="Oui",MAX(N(Employés!Q27),1),1))</f>
        <v/>
      </c>
      <c r="U27" s="83">
        <f>IF($A27="","",ROUND((IF(T27&lt;=IRPP_P1,T27*IRPP_T1,IF(T27&lt;=IRPP_P2,IRPP_P1*IRPP_T1+(T27-IRPP_P1)*IRPP_T2,IF(T27&lt;=IRPP_P3,IRPP_P1*IRPP_T1+(IRPP_P2-IRPP_P1)*IRPP_T2+(T27-IRPP_P2)*IRPP_T3,IRPP_P1*IRPP_T1+(IRPP_P2-IRPP_P1)*IRPP_T2+(IRPP_P3-IRPP_P2)*IRPP_T3+(T27-IRPP_P3)*IRPP_T4))))*(1+TX_CAC)/12,0))</f>
        <v/>
      </c>
      <c r="V27" s="83">
        <f>IF($A27="","",SUMIFS('Retenues internes'!$D$41:$D$1040,'Retenues internes'!$A$41:$A$1040,PERIODE_DATE,'Retenues internes'!$B$41:$B$1040,$A27))</f>
        <v/>
      </c>
      <c r="W27" s="83">
        <f>IF($A27="","",SUMIFS('Retenues internes'!$E$41:$E$1040,'Retenues internes'!$A$41:$A$1040,PERIODE_DATE,'Retenues internes'!$B$41:$B$1040,$A27))</f>
        <v/>
      </c>
      <c r="X27" s="83">
        <f>IF($A27="","",SUMIFS('Retenues internes'!$G$41:$G$1040,'Retenues internes'!$A$41:$A$1040,PERIODE_DATE,'Retenues internes'!$B$41:$B$1040,$A27))</f>
        <v/>
      </c>
      <c r="Y27" s="83">
        <f>IF($A27="","",SUMIFS('Retenues internes'!$H$41:$H$1040,'Retenues internes'!$A$41:$A$1040,PERIODE_DATE,'Retenues internes'!$B$41:$B$1040,$A27))</f>
        <v/>
      </c>
      <c r="Z27" s="83">
        <f>IF($A27="","",V27+W27+X27+Y27)</f>
        <v/>
      </c>
      <c r="AA27" s="83">
        <f>IF($A27="","",K27+O27+R27+S27+U27)</f>
        <v/>
      </c>
      <c r="AB27" s="82">
        <f>IF($A27="","",L27+M27+N27+P27+Q27)</f>
        <v/>
      </c>
      <c r="AC27" s="83">
        <f>IF($A27="","",H27-AA27-Z27)</f>
        <v/>
      </c>
      <c r="AD27" s="83">
        <f>IF($A27="","",H27+AB27)</f>
        <v/>
      </c>
    </row>
    <row r="28" ht="15" customHeight="1" s="71">
      <c r="A28" s="82">
        <f>IF(OR(Employés!A28="",Employés!N28&lt;&gt;"Actif"),"",Employés!A28)</f>
        <v/>
      </c>
      <c r="B28" s="82">
        <f>IF($A28="","",Employés!B28)</f>
        <v/>
      </c>
      <c r="C28" s="82">
        <f>IF($A28="","",Employés!C28)</f>
        <v/>
      </c>
      <c r="D28" s="83">
        <f>IF($A28="","",N(Employés!K28))</f>
        <v/>
      </c>
      <c r="E28" s="83">
        <f>IF($A28="","",N(Employés!L28))</f>
        <v/>
      </c>
      <c r="F28" s="83">
        <f>IF($A28="","",IF(Employés!U28&lt;&gt;"Oui",0,IF(N(Employés!R28)&gt;=N(Employés!T28),ROUND(D28*IF(N(Employés!S28)&gt;0,Employés!S28,TX_ANC_DEF),0),0)))</f>
        <v/>
      </c>
      <c r="G28" s="83">
        <f>IF($A28="","",SUMIFS('Retenues internes'!$F$41:$F$1040,'Retenues internes'!$A$41:$A$1040,PERIODE_DATE,'Retenues internes'!$B$41:$B$1040,$A28))</f>
        <v/>
      </c>
      <c r="H28" s="83">
        <f>IF($A28="","",MAX(D28+E28+F28-G28,0))</f>
        <v/>
      </c>
      <c r="I28" s="83">
        <f>IF($A28="","",MAX(N(Employés!M28)+F28-G28,0))</f>
        <v/>
      </c>
      <c r="J28" s="83">
        <f>IF($A28="","",MIN(ROUND(I28*COEF_ASSIETTE,0),PLAFOND_CNPS))</f>
        <v/>
      </c>
      <c r="K28" s="83">
        <f>IF($A28="","",ROUND(J28*TX_VID_SAL,0))</f>
        <v/>
      </c>
      <c r="L28" s="83">
        <f>IF($A28="","",ROUND(J28*TX_VID_PAT,0))</f>
        <v/>
      </c>
      <c r="M28" s="83">
        <f>IF($A28="","",ROUND(J28*TX_PF,0))</f>
        <v/>
      </c>
      <c r="N28" s="83">
        <f>IF($A28="","",ROUND(J28*TX_AT,0))</f>
        <v/>
      </c>
      <c r="O28" s="83">
        <f>IF($A28="","",ROUND(I28*TX_CFC_SAL,0))</f>
        <v/>
      </c>
      <c r="P28" s="83">
        <f>IF($A28="","",ROUND(I28*TX_CFC_PAT,0))</f>
        <v/>
      </c>
      <c r="Q28" s="83">
        <f>IF($A28="","",ROUND(I28*TX_FNE,0))</f>
        <v/>
      </c>
      <c r="R28" s="83">
        <f>IF($A28="","",IF(H28&lt;=TC_S1,TC_V1,IF(H28&lt;=TC_S2,TC_V2,TC_V3)))</f>
        <v/>
      </c>
      <c r="S28" s="83">
        <f>IF($A28="","",IF(H28&lt;=TC_S1,RAV_V1,IF(H28&lt;=TC_S2,RAV_V2,RAV_V3)))</f>
        <v/>
      </c>
      <c r="T28" s="83">
        <f>IF($A28="","",MAX(I28*12*(1-ABAT_PCT)-ABAT_FIXE,0)/IF(Employés!V28="Oui",MAX(N(Employés!Q28),1),1))</f>
        <v/>
      </c>
      <c r="U28" s="83">
        <f>IF($A28="","",ROUND((IF(T28&lt;=IRPP_P1,T28*IRPP_T1,IF(T28&lt;=IRPP_P2,IRPP_P1*IRPP_T1+(T28-IRPP_P1)*IRPP_T2,IF(T28&lt;=IRPP_P3,IRPP_P1*IRPP_T1+(IRPP_P2-IRPP_P1)*IRPP_T2+(T28-IRPP_P2)*IRPP_T3,IRPP_P1*IRPP_T1+(IRPP_P2-IRPP_P1)*IRPP_T2+(IRPP_P3-IRPP_P2)*IRPP_T3+(T28-IRPP_P3)*IRPP_T4))))*(1+TX_CAC)/12,0))</f>
        <v/>
      </c>
      <c r="V28" s="83">
        <f>IF($A28="","",SUMIFS('Retenues internes'!$D$41:$D$1040,'Retenues internes'!$A$41:$A$1040,PERIODE_DATE,'Retenues internes'!$B$41:$B$1040,$A28))</f>
        <v/>
      </c>
      <c r="W28" s="83">
        <f>IF($A28="","",SUMIFS('Retenues internes'!$E$41:$E$1040,'Retenues internes'!$A$41:$A$1040,PERIODE_DATE,'Retenues internes'!$B$41:$B$1040,$A28))</f>
        <v/>
      </c>
      <c r="X28" s="83">
        <f>IF($A28="","",SUMIFS('Retenues internes'!$G$41:$G$1040,'Retenues internes'!$A$41:$A$1040,PERIODE_DATE,'Retenues internes'!$B$41:$B$1040,$A28))</f>
        <v/>
      </c>
      <c r="Y28" s="83">
        <f>IF($A28="","",SUMIFS('Retenues internes'!$H$41:$H$1040,'Retenues internes'!$A$41:$A$1040,PERIODE_DATE,'Retenues internes'!$B$41:$B$1040,$A28))</f>
        <v/>
      </c>
      <c r="Z28" s="83">
        <f>IF($A28="","",V28+W28+X28+Y28)</f>
        <v/>
      </c>
      <c r="AA28" s="83">
        <f>IF($A28="","",K28+O28+R28+S28+U28)</f>
        <v/>
      </c>
      <c r="AB28" s="82">
        <f>IF($A28="","",L28+M28+N28+P28+Q28)</f>
        <v/>
      </c>
      <c r="AC28" s="83">
        <f>IF($A28="","",H28-AA28-Z28)</f>
        <v/>
      </c>
      <c r="AD28" s="83">
        <f>IF($A28="","",H28+AB28)</f>
        <v/>
      </c>
    </row>
    <row r="29" ht="15" customHeight="1" s="71">
      <c r="A29" s="82">
        <f>IF(OR(Employés!A29="",Employés!N29&lt;&gt;"Actif"),"",Employés!A29)</f>
        <v/>
      </c>
      <c r="B29" s="82">
        <f>IF($A29="","",Employés!B29)</f>
        <v/>
      </c>
      <c r="C29" s="82">
        <f>IF($A29="","",Employés!C29)</f>
        <v/>
      </c>
      <c r="D29" s="83">
        <f>IF($A29="","",N(Employés!K29))</f>
        <v/>
      </c>
      <c r="E29" s="83">
        <f>IF($A29="","",N(Employés!L29))</f>
        <v/>
      </c>
      <c r="F29" s="83">
        <f>IF($A29="","",IF(Employés!U29&lt;&gt;"Oui",0,IF(N(Employés!R29)&gt;=N(Employés!T29),ROUND(D29*IF(N(Employés!S29)&gt;0,Employés!S29,TX_ANC_DEF),0),0)))</f>
        <v/>
      </c>
      <c r="G29" s="83">
        <f>IF($A29="","",SUMIFS('Retenues internes'!$F$41:$F$1040,'Retenues internes'!$A$41:$A$1040,PERIODE_DATE,'Retenues internes'!$B$41:$B$1040,$A29))</f>
        <v/>
      </c>
      <c r="H29" s="83">
        <f>IF($A29="","",MAX(D29+E29+F29-G29,0))</f>
        <v/>
      </c>
      <c r="I29" s="83">
        <f>IF($A29="","",MAX(N(Employés!M29)+F29-G29,0))</f>
        <v/>
      </c>
      <c r="J29" s="83">
        <f>IF($A29="","",MIN(ROUND(I29*COEF_ASSIETTE,0),PLAFOND_CNPS))</f>
        <v/>
      </c>
      <c r="K29" s="83">
        <f>IF($A29="","",ROUND(J29*TX_VID_SAL,0))</f>
        <v/>
      </c>
      <c r="L29" s="83">
        <f>IF($A29="","",ROUND(J29*TX_VID_PAT,0))</f>
        <v/>
      </c>
      <c r="M29" s="83">
        <f>IF($A29="","",ROUND(J29*TX_PF,0))</f>
        <v/>
      </c>
      <c r="N29" s="83">
        <f>IF($A29="","",ROUND(J29*TX_AT,0))</f>
        <v/>
      </c>
      <c r="O29" s="83">
        <f>IF($A29="","",ROUND(I29*TX_CFC_SAL,0))</f>
        <v/>
      </c>
      <c r="P29" s="83">
        <f>IF($A29="","",ROUND(I29*TX_CFC_PAT,0))</f>
        <v/>
      </c>
      <c r="Q29" s="83">
        <f>IF($A29="","",ROUND(I29*TX_FNE,0))</f>
        <v/>
      </c>
      <c r="R29" s="83">
        <f>IF($A29="","",IF(H29&lt;=TC_S1,TC_V1,IF(H29&lt;=TC_S2,TC_V2,TC_V3)))</f>
        <v/>
      </c>
      <c r="S29" s="83">
        <f>IF($A29="","",IF(H29&lt;=TC_S1,RAV_V1,IF(H29&lt;=TC_S2,RAV_V2,RAV_V3)))</f>
        <v/>
      </c>
      <c r="T29" s="83">
        <f>IF($A29="","",MAX(I29*12*(1-ABAT_PCT)-ABAT_FIXE,0)/IF(Employés!V29="Oui",MAX(N(Employés!Q29),1),1))</f>
        <v/>
      </c>
      <c r="U29" s="83">
        <f>IF($A29="","",ROUND((IF(T29&lt;=IRPP_P1,T29*IRPP_T1,IF(T29&lt;=IRPP_P2,IRPP_P1*IRPP_T1+(T29-IRPP_P1)*IRPP_T2,IF(T29&lt;=IRPP_P3,IRPP_P1*IRPP_T1+(IRPP_P2-IRPP_P1)*IRPP_T2+(T29-IRPP_P2)*IRPP_T3,IRPP_P1*IRPP_T1+(IRPP_P2-IRPP_P1)*IRPP_T2+(IRPP_P3-IRPP_P2)*IRPP_T3+(T29-IRPP_P3)*IRPP_T4))))*(1+TX_CAC)/12,0))</f>
        <v/>
      </c>
      <c r="V29" s="83">
        <f>IF($A29="","",SUMIFS('Retenues internes'!$D$41:$D$1040,'Retenues internes'!$A$41:$A$1040,PERIODE_DATE,'Retenues internes'!$B$41:$B$1040,$A29))</f>
        <v/>
      </c>
      <c r="W29" s="83">
        <f>IF($A29="","",SUMIFS('Retenues internes'!$E$41:$E$1040,'Retenues internes'!$A$41:$A$1040,PERIODE_DATE,'Retenues internes'!$B$41:$B$1040,$A29))</f>
        <v/>
      </c>
      <c r="X29" s="83">
        <f>IF($A29="","",SUMIFS('Retenues internes'!$G$41:$G$1040,'Retenues internes'!$A$41:$A$1040,PERIODE_DATE,'Retenues internes'!$B$41:$B$1040,$A29))</f>
        <v/>
      </c>
      <c r="Y29" s="83">
        <f>IF($A29="","",SUMIFS('Retenues internes'!$H$41:$H$1040,'Retenues internes'!$A$41:$A$1040,PERIODE_DATE,'Retenues internes'!$B$41:$B$1040,$A29))</f>
        <v/>
      </c>
      <c r="Z29" s="83">
        <f>IF($A29="","",V29+W29+X29+Y29)</f>
        <v/>
      </c>
      <c r="AA29" s="83">
        <f>IF($A29="","",K29+O29+R29+S29+U29)</f>
        <v/>
      </c>
      <c r="AB29" s="82">
        <f>IF($A29="","",L29+M29+N29+P29+Q29)</f>
        <v/>
      </c>
      <c r="AC29" s="83">
        <f>IF($A29="","",H29-AA29-Z29)</f>
        <v/>
      </c>
      <c r="AD29" s="83">
        <f>IF($A29="","",H29+AB29)</f>
        <v/>
      </c>
    </row>
    <row r="30" ht="15" customHeight="1" s="71">
      <c r="A30" s="82">
        <f>IF(OR(Employés!A30="",Employés!N30&lt;&gt;"Actif"),"",Employés!A30)</f>
        <v/>
      </c>
      <c r="B30" s="82">
        <f>IF($A30="","",Employés!B30)</f>
        <v/>
      </c>
      <c r="C30" s="82">
        <f>IF($A30="","",Employés!C30)</f>
        <v/>
      </c>
      <c r="D30" s="83">
        <f>IF($A30="","",N(Employés!K30))</f>
        <v/>
      </c>
      <c r="E30" s="83">
        <f>IF($A30="","",N(Employés!L30))</f>
        <v/>
      </c>
      <c r="F30" s="83">
        <f>IF($A30="","",IF(Employés!U30&lt;&gt;"Oui",0,IF(N(Employés!R30)&gt;=N(Employés!T30),ROUND(D30*IF(N(Employés!S30)&gt;0,Employés!S30,TX_ANC_DEF),0),0)))</f>
        <v/>
      </c>
      <c r="G30" s="83">
        <f>IF($A30="","",SUMIFS('Retenues internes'!$F$41:$F$1040,'Retenues internes'!$A$41:$A$1040,PERIODE_DATE,'Retenues internes'!$B$41:$B$1040,$A30))</f>
        <v/>
      </c>
      <c r="H30" s="83">
        <f>IF($A30="","",MAX(D30+E30+F30-G30,0))</f>
        <v/>
      </c>
      <c r="I30" s="83">
        <f>IF($A30="","",MAX(N(Employés!M30)+F30-G30,0))</f>
        <v/>
      </c>
      <c r="J30" s="83">
        <f>IF($A30="","",MIN(ROUND(I30*COEF_ASSIETTE,0),PLAFOND_CNPS))</f>
        <v/>
      </c>
      <c r="K30" s="83">
        <f>IF($A30="","",ROUND(J30*TX_VID_SAL,0))</f>
        <v/>
      </c>
      <c r="L30" s="83">
        <f>IF($A30="","",ROUND(J30*TX_VID_PAT,0))</f>
        <v/>
      </c>
      <c r="M30" s="83">
        <f>IF($A30="","",ROUND(J30*TX_PF,0))</f>
        <v/>
      </c>
      <c r="N30" s="83">
        <f>IF($A30="","",ROUND(J30*TX_AT,0))</f>
        <v/>
      </c>
      <c r="O30" s="83">
        <f>IF($A30="","",ROUND(I30*TX_CFC_SAL,0))</f>
        <v/>
      </c>
      <c r="P30" s="83">
        <f>IF($A30="","",ROUND(I30*TX_CFC_PAT,0))</f>
        <v/>
      </c>
      <c r="Q30" s="83">
        <f>IF($A30="","",ROUND(I30*TX_FNE,0))</f>
        <v/>
      </c>
      <c r="R30" s="83">
        <f>IF($A30="","",IF(H30&lt;=TC_S1,TC_V1,IF(H30&lt;=TC_S2,TC_V2,TC_V3)))</f>
        <v/>
      </c>
      <c r="S30" s="83">
        <f>IF($A30="","",IF(H30&lt;=TC_S1,RAV_V1,IF(H30&lt;=TC_S2,RAV_V2,RAV_V3)))</f>
        <v/>
      </c>
      <c r="T30" s="83">
        <f>IF($A30="","",MAX(I30*12*(1-ABAT_PCT)-ABAT_FIXE,0)/IF(Employés!V30="Oui",MAX(N(Employés!Q30),1),1))</f>
        <v/>
      </c>
      <c r="U30" s="83">
        <f>IF($A30="","",ROUND((IF(T30&lt;=IRPP_P1,T30*IRPP_T1,IF(T30&lt;=IRPP_P2,IRPP_P1*IRPP_T1+(T30-IRPP_P1)*IRPP_T2,IF(T30&lt;=IRPP_P3,IRPP_P1*IRPP_T1+(IRPP_P2-IRPP_P1)*IRPP_T2+(T30-IRPP_P2)*IRPP_T3,IRPP_P1*IRPP_T1+(IRPP_P2-IRPP_P1)*IRPP_T2+(IRPP_P3-IRPP_P2)*IRPP_T3+(T30-IRPP_P3)*IRPP_T4))))*(1+TX_CAC)/12,0))</f>
        <v/>
      </c>
      <c r="V30" s="83">
        <f>IF($A30="","",SUMIFS('Retenues internes'!$D$41:$D$1040,'Retenues internes'!$A$41:$A$1040,PERIODE_DATE,'Retenues internes'!$B$41:$B$1040,$A30))</f>
        <v/>
      </c>
      <c r="W30" s="83">
        <f>IF($A30="","",SUMIFS('Retenues internes'!$E$41:$E$1040,'Retenues internes'!$A$41:$A$1040,PERIODE_DATE,'Retenues internes'!$B$41:$B$1040,$A30))</f>
        <v/>
      </c>
      <c r="X30" s="83">
        <f>IF($A30="","",SUMIFS('Retenues internes'!$G$41:$G$1040,'Retenues internes'!$A$41:$A$1040,PERIODE_DATE,'Retenues internes'!$B$41:$B$1040,$A30))</f>
        <v/>
      </c>
      <c r="Y30" s="83">
        <f>IF($A30="","",SUMIFS('Retenues internes'!$H$41:$H$1040,'Retenues internes'!$A$41:$A$1040,PERIODE_DATE,'Retenues internes'!$B$41:$B$1040,$A30))</f>
        <v/>
      </c>
      <c r="Z30" s="83">
        <f>IF($A30="","",V30+W30+X30+Y30)</f>
        <v/>
      </c>
      <c r="AA30" s="83">
        <f>IF($A30="","",K30+O30+R30+S30+U30)</f>
        <v/>
      </c>
      <c r="AB30" s="82">
        <f>IF($A30="","",L30+M30+N30+P30+Q30)</f>
        <v/>
      </c>
      <c r="AC30" s="83">
        <f>IF($A30="","",H30-AA30-Z30)</f>
        <v/>
      </c>
      <c r="AD30" s="83">
        <f>IF($A30="","",H30+AB30)</f>
        <v/>
      </c>
    </row>
    <row r="31" ht="15" customHeight="1" s="71">
      <c r="A31" s="82">
        <f>IF(OR(Employés!A31="",Employés!N31&lt;&gt;"Actif"),"",Employés!A31)</f>
        <v/>
      </c>
      <c r="B31" s="82">
        <f>IF($A31="","",Employés!B31)</f>
        <v/>
      </c>
      <c r="C31" s="82">
        <f>IF($A31="","",Employés!C31)</f>
        <v/>
      </c>
      <c r="D31" s="83">
        <f>IF($A31="","",N(Employés!K31))</f>
        <v/>
      </c>
      <c r="E31" s="83">
        <f>IF($A31="","",N(Employés!L31))</f>
        <v/>
      </c>
      <c r="F31" s="83">
        <f>IF($A31="","",IF(Employés!U31&lt;&gt;"Oui",0,IF(N(Employés!R31)&gt;=N(Employés!T31),ROUND(D31*IF(N(Employés!S31)&gt;0,Employés!S31,TX_ANC_DEF),0),0)))</f>
        <v/>
      </c>
      <c r="G31" s="83">
        <f>IF($A31="","",SUMIFS('Retenues internes'!$F$41:$F$1040,'Retenues internes'!$A$41:$A$1040,PERIODE_DATE,'Retenues internes'!$B$41:$B$1040,$A31))</f>
        <v/>
      </c>
      <c r="H31" s="83">
        <f>IF($A31="","",MAX(D31+E31+F31-G31,0))</f>
        <v/>
      </c>
      <c r="I31" s="83">
        <f>IF($A31="","",MAX(N(Employés!M31)+F31-G31,0))</f>
        <v/>
      </c>
      <c r="J31" s="83">
        <f>IF($A31="","",MIN(ROUND(I31*COEF_ASSIETTE,0),PLAFOND_CNPS))</f>
        <v/>
      </c>
      <c r="K31" s="83">
        <f>IF($A31="","",ROUND(J31*TX_VID_SAL,0))</f>
        <v/>
      </c>
      <c r="L31" s="83">
        <f>IF($A31="","",ROUND(J31*TX_VID_PAT,0))</f>
        <v/>
      </c>
      <c r="M31" s="83">
        <f>IF($A31="","",ROUND(J31*TX_PF,0))</f>
        <v/>
      </c>
      <c r="N31" s="83">
        <f>IF($A31="","",ROUND(J31*TX_AT,0))</f>
        <v/>
      </c>
      <c r="O31" s="83">
        <f>IF($A31="","",ROUND(I31*TX_CFC_SAL,0))</f>
        <v/>
      </c>
      <c r="P31" s="83">
        <f>IF($A31="","",ROUND(I31*TX_CFC_PAT,0))</f>
        <v/>
      </c>
      <c r="Q31" s="83">
        <f>IF($A31="","",ROUND(I31*TX_FNE,0))</f>
        <v/>
      </c>
      <c r="R31" s="83">
        <f>IF($A31="","",IF(H31&lt;=TC_S1,TC_V1,IF(H31&lt;=TC_S2,TC_V2,TC_V3)))</f>
        <v/>
      </c>
      <c r="S31" s="83">
        <f>IF($A31="","",IF(H31&lt;=TC_S1,RAV_V1,IF(H31&lt;=TC_S2,RAV_V2,RAV_V3)))</f>
        <v/>
      </c>
      <c r="T31" s="83">
        <f>IF($A31="","",MAX(I31*12*(1-ABAT_PCT)-ABAT_FIXE,0)/IF(Employés!V31="Oui",MAX(N(Employés!Q31),1),1))</f>
        <v/>
      </c>
      <c r="U31" s="83">
        <f>IF($A31="","",ROUND((IF(T31&lt;=IRPP_P1,T31*IRPP_T1,IF(T31&lt;=IRPP_P2,IRPP_P1*IRPP_T1+(T31-IRPP_P1)*IRPP_T2,IF(T31&lt;=IRPP_P3,IRPP_P1*IRPP_T1+(IRPP_P2-IRPP_P1)*IRPP_T2+(T31-IRPP_P2)*IRPP_T3,IRPP_P1*IRPP_T1+(IRPP_P2-IRPP_P1)*IRPP_T2+(IRPP_P3-IRPP_P2)*IRPP_T3+(T31-IRPP_P3)*IRPP_T4))))*(1+TX_CAC)/12,0))</f>
        <v/>
      </c>
      <c r="V31" s="83">
        <f>IF($A31="","",SUMIFS('Retenues internes'!$D$41:$D$1040,'Retenues internes'!$A$41:$A$1040,PERIODE_DATE,'Retenues internes'!$B$41:$B$1040,$A31))</f>
        <v/>
      </c>
      <c r="W31" s="83">
        <f>IF($A31="","",SUMIFS('Retenues internes'!$E$41:$E$1040,'Retenues internes'!$A$41:$A$1040,PERIODE_DATE,'Retenues internes'!$B$41:$B$1040,$A31))</f>
        <v/>
      </c>
      <c r="X31" s="83">
        <f>IF($A31="","",SUMIFS('Retenues internes'!$G$41:$G$1040,'Retenues internes'!$A$41:$A$1040,PERIODE_DATE,'Retenues internes'!$B$41:$B$1040,$A31))</f>
        <v/>
      </c>
      <c r="Y31" s="83">
        <f>IF($A31="","",SUMIFS('Retenues internes'!$H$41:$H$1040,'Retenues internes'!$A$41:$A$1040,PERIODE_DATE,'Retenues internes'!$B$41:$B$1040,$A31))</f>
        <v/>
      </c>
      <c r="Z31" s="83">
        <f>IF($A31="","",V31+W31+X31+Y31)</f>
        <v/>
      </c>
      <c r="AA31" s="83">
        <f>IF($A31="","",K31+O31+R31+S31+U31)</f>
        <v/>
      </c>
      <c r="AB31" s="82">
        <f>IF($A31="","",L31+M31+N31+P31+Q31)</f>
        <v/>
      </c>
      <c r="AC31" s="83">
        <f>IF($A31="","",H31-AA31-Z31)</f>
        <v/>
      </c>
      <c r="AD31" s="83">
        <f>IF($A31="","",H31+AB31)</f>
        <v/>
      </c>
    </row>
    <row r="32" ht="15" customHeight="1" s="71">
      <c r="A32" s="82">
        <f>IF(OR(Employés!A32="",Employés!N32&lt;&gt;"Actif"),"",Employés!A32)</f>
        <v/>
      </c>
      <c r="B32" s="82">
        <f>IF($A32="","",Employés!B32)</f>
        <v/>
      </c>
      <c r="C32" s="82">
        <f>IF($A32="","",Employés!C32)</f>
        <v/>
      </c>
      <c r="D32" s="83">
        <f>IF($A32="","",N(Employés!K32))</f>
        <v/>
      </c>
      <c r="E32" s="83">
        <f>IF($A32="","",N(Employés!L32))</f>
        <v/>
      </c>
      <c r="F32" s="83">
        <f>IF($A32="","",IF(Employés!U32&lt;&gt;"Oui",0,IF(N(Employés!R32)&gt;=N(Employés!T32),ROUND(D32*IF(N(Employés!S32)&gt;0,Employés!S32,TX_ANC_DEF),0),0)))</f>
        <v/>
      </c>
      <c r="G32" s="83">
        <f>IF($A32="","",SUMIFS('Retenues internes'!$F$41:$F$1040,'Retenues internes'!$A$41:$A$1040,PERIODE_DATE,'Retenues internes'!$B$41:$B$1040,$A32))</f>
        <v/>
      </c>
      <c r="H32" s="83">
        <f>IF($A32="","",MAX(D32+E32+F32-G32,0))</f>
        <v/>
      </c>
      <c r="I32" s="83">
        <f>IF($A32="","",MAX(N(Employés!M32)+F32-G32,0))</f>
        <v/>
      </c>
      <c r="J32" s="83">
        <f>IF($A32="","",MIN(ROUND(I32*COEF_ASSIETTE,0),PLAFOND_CNPS))</f>
        <v/>
      </c>
      <c r="K32" s="83">
        <f>IF($A32="","",ROUND(J32*TX_VID_SAL,0))</f>
        <v/>
      </c>
      <c r="L32" s="83">
        <f>IF($A32="","",ROUND(J32*TX_VID_PAT,0))</f>
        <v/>
      </c>
      <c r="M32" s="83">
        <f>IF($A32="","",ROUND(J32*TX_PF,0))</f>
        <v/>
      </c>
      <c r="N32" s="83">
        <f>IF($A32="","",ROUND(J32*TX_AT,0))</f>
        <v/>
      </c>
      <c r="O32" s="83">
        <f>IF($A32="","",ROUND(I32*TX_CFC_SAL,0))</f>
        <v/>
      </c>
      <c r="P32" s="83">
        <f>IF($A32="","",ROUND(I32*TX_CFC_PAT,0))</f>
        <v/>
      </c>
      <c r="Q32" s="83">
        <f>IF($A32="","",ROUND(I32*TX_FNE,0))</f>
        <v/>
      </c>
      <c r="R32" s="83">
        <f>IF($A32="","",IF(H32&lt;=TC_S1,TC_V1,IF(H32&lt;=TC_S2,TC_V2,TC_V3)))</f>
        <v/>
      </c>
      <c r="S32" s="83">
        <f>IF($A32="","",IF(H32&lt;=TC_S1,RAV_V1,IF(H32&lt;=TC_S2,RAV_V2,RAV_V3)))</f>
        <v/>
      </c>
      <c r="T32" s="83">
        <f>IF($A32="","",MAX(I32*12*(1-ABAT_PCT)-ABAT_FIXE,0)/IF(Employés!V32="Oui",MAX(N(Employés!Q32),1),1))</f>
        <v/>
      </c>
      <c r="U32" s="83">
        <f>IF($A32="","",ROUND((IF(T32&lt;=IRPP_P1,T32*IRPP_T1,IF(T32&lt;=IRPP_P2,IRPP_P1*IRPP_T1+(T32-IRPP_P1)*IRPP_T2,IF(T32&lt;=IRPP_P3,IRPP_P1*IRPP_T1+(IRPP_P2-IRPP_P1)*IRPP_T2+(T32-IRPP_P2)*IRPP_T3,IRPP_P1*IRPP_T1+(IRPP_P2-IRPP_P1)*IRPP_T2+(IRPP_P3-IRPP_P2)*IRPP_T3+(T32-IRPP_P3)*IRPP_T4))))*(1+TX_CAC)/12,0))</f>
        <v/>
      </c>
      <c r="V32" s="83">
        <f>IF($A32="","",SUMIFS('Retenues internes'!$D$41:$D$1040,'Retenues internes'!$A$41:$A$1040,PERIODE_DATE,'Retenues internes'!$B$41:$B$1040,$A32))</f>
        <v/>
      </c>
      <c r="W32" s="83">
        <f>IF($A32="","",SUMIFS('Retenues internes'!$E$41:$E$1040,'Retenues internes'!$A$41:$A$1040,PERIODE_DATE,'Retenues internes'!$B$41:$B$1040,$A32))</f>
        <v/>
      </c>
      <c r="X32" s="83">
        <f>IF($A32="","",SUMIFS('Retenues internes'!$G$41:$G$1040,'Retenues internes'!$A$41:$A$1040,PERIODE_DATE,'Retenues internes'!$B$41:$B$1040,$A32))</f>
        <v/>
      </c>
      <c r="Y32" s="83">
        <f>IF($A32="","",SUMIFS('Retenues internes'!$H$41:$H$1040,'Retenues internes'!$A$41:$A$1040,PERIODE_DATE,'Retenues internes'!$B$41:$B$1040,$A32))</f>
        <v/>
      </c>
      <c r="Z32" s="83">
        <f>IF($A32="","",V32+W32+X32+Y32)</f>
        <v/>
      </c>
      <c r="AA32" s="83">
        <f>IF($A32="","",K32+O32+R32+S32+U32)</f>
        <v/>
      </c>
      <c r="AB32" s="82">
        <f>IF($A32="","",L32+M32+N32+P32+Q32)</f>
        <v/>
      </c>
      <c r="AC32" s="83">
        <f>IF($A32="","",H32-AA32-Z32)</f>
        <v/>
      </c>
      <c r="AD32" s="83">
        <f>IF($A32="","",H32+AB32)</f>
        <v/>
      </c>
    </row>
    <row r="33" ht="15" customHeight="1" s="71">
      <c r="A33" s="82">
        <f>IF(OR(Employés!A33="",Employés!N33&lt;&gt;"Actif"),"",Employés!A33)</f>
        <v/>
      </c>
      <c r="B33" s="82">
        <f>IF($A33="","",Employés!B33)</f>
        <v/>
      </c>
      <c r="C33" s="82">
        <f>IF($A33="","",Employés!C33)</f>
        <v/>
      </c>
      <c r="D33" s="83">
        <f>IF($A33="","",N(Employés!K33))</f>
        <v/>
      </c>
      <c r="E33" s="83">
        <f>IF($A33="","",N(Employés!L33))</f>
        <v/>
      </c>
      <c r="F33" s="83">
        <f>IF($A33="","",IF(Employés!U33&lt;&gt;"Oui",0,IF(N(Employés!R33)&gt;=N(Employés!T33),ROUND(D33*IF(N(Employés!S33)&gt;0,Employés!S33,TX_ANC_DEF),0),0)))</f>
        <v/>
      </c>
      <c r="G33" s="83">
        <f>IF($A33="","",SUMIFS('Retenues internes'!$F$41:$F$1040,'Retenues internes'!$A$41:$A$1040,PERIODE_DATE,'Retenues internes'!$B$41:$B$1040,$A33))</f>
        <v/>
      </c>
      <c r="H33" s="83">
        <f>IF($A33="","",MAX(D33+E33+F33-G33,0))</f>
        <v/>
      </c>
      <c r="I33" s="83">
        <f>IF($A33="","",MAX(N(Employés!M33)+F33-G33,0))</f>
        <v/>
      </c>
      <c r="J33" s="83">
        <f>IF($A33="","",MIN(ROUND(I33*COEF_ASSIETTE,0),PLAFOND_CNPS))</f>
        <v/>
      </c>
      <c r="K33" s="83">
        <f>IF($A33="","",ROUND(J33*TX_VID_SAL,0))</f>
        <v/>
      </c>
      <c r="L33" s="83">
        <f>IF($A33="","",ROUND(J33*TX_VID_PAT,0))</f>
        <v/>
      </c>
      <c r="M33" s="83">
        <f>IF($A33="","",ROUND(J33*TX_PF,0))</f>
        <v/>
      </c>
      <c r="N33" s="83">
        <f>IF($A33="","",ROUND(J33*TX_AT,0))</f>
        <v/>
      </c>
      <c r="O33" s="83">
        <f>IF($A33="","",ROUND(I33*TX_CFC_SAL,0))</f>
        <v/>
      </c>
      <c r="P33" s="83">
        <f>IF($A33="","",ROUND(I33*TX_CFC_PAT,0))</f>
        <v/>
      </c>
      <c r="Q33" s="83">
        <f>IF($A33="","",ROUND(I33*TX_FNE,0))</f>
        <v/>
      </c>
      <c r="R33" s="83">
        <f>IF($A33="","",IF(H33&lt;=TC_S1,TC_V1,IF(H33&lt;=TC_S2,TC_V2,TC_V3)))</f>
        <v/>
      </c>
      <c r="S33" s="83">
        <f>IF($A33="","",IF(H33&lt;=TC_S1,RAV_V1,IF(H33&lt;=TC_S2,RAV_V2,RAV_V3)))</f>
        <v/>
      </c>
      <c r="T33" s="83">
        <f>IF($A33="","",MAX(I33*12*(1-ABAT_PCT)-ABAT_FIXE,0)/IF(Employés!V33="Oui",MAX(N(Employés!Q33),1),1))</f>
        <v/>
      </c>
      <c r="U33" s="83">
        <f>IF($A33="","",ROUND((IF(T33&lt;=IRPP_P1,T33*IRPP_T1,IF(T33&lt;=IRPP_P2,IRPP_P1*IRPP_T1+(T33-IRPP_P1)*IRPP_T2,IF(T33&lt;=IRPP_P3,IRPP_P1*IRPP_T1+(IRPP_P2-IRPP_P1)*IRPP_T2+(T33-IRPP_P2)*IRPP_T3,IRPP_P1*IRPP_T1+(IRPP_P2-IRPP_P1)*IRPP_T2+(IRPP_P3-IRPP_P2)*IRPP_T3+(T33-IRPP_P3)*IRPP_T4))))*(1+TX_CAC)/12,0))</f>
        <v/>
      </c>
      <c r="V33" s="83">
        <f>IF($A33="","",SUMIFS('Retenues internes'!$D$41:$D$1040,'Retenues internes'!$A$41:$A$1040,PERIODE_DATE,'Retenues internes'!$B$41:$B$1040,$A33))</f>
        <v/>
      </c>
      <c r="W33" s="83">
        <f>IF($A33="","",SUMIFS('Retenues internes'!$E$41:$E$1040,'Retenues internes'!$A$41:$A$1040,PERIODE_DATE,'Retenues internes'!$B$41:$B$1040,$A33))</f>
        <v/>
      </c>
      <c r="X33" s="83">
        <f>IF($A33="","",SUMIFS('Retenues internes'!$G$41:$G$1040,'Retenues internes'!$A$41:$A$1040,PERIODE_DATE,'Retenues internes'!$B$41:$B$1040,$A33))</f>
        <v/>
      </c>
      <c r="Y33" s="83">
        <f>IF($A33="","",SUMIFS('Retenues internes'!$H$41:$H$1040,'Retenues internes'!$A$41:$A$1040,PERIODE_DATE,'Retenues internes'!$B$41:$B$1040,$A33))</f>
        <v/>
      </c>
      <c r="Z33" s="83">
        <f>IF($A33="","",V33+W33+X33+Y33)</f>
        <v/>
      </c>
      <c r="AA33" s="83">
        <f>IF($A33="","",K33+O33+R33+S33+U33)</f>
        <v/>
      </c>
      <c r="AB33" s="82">
        <f>IF($A33="","",L33+M33+N33+P33+Q33)</f>
        <v/>
      </c>
      <c r="AC33" s="83">
        <f>IF($A33="","",H33-AA33-Z33)</f>
        <v/>
      </c>
      <c r="AD33" s="83">
        <f>IF($A33="","",H33+AB33)</f>
        <v/>
      </c>
    </row>
    <row r="34" ht="15" customHeight="1" s="71">
      <c r="A34" s="82">
        <f>IF(OR(Employés!A34="",Employés!N34&lt;&gt;"Actif"),"",Employés!A34)</f>
        <v/>
      </c>
      <c r="B34" s="82">
        <f>IF($A34="","",Employés!B34)</f>
        <v/>
      </c>
      <c r="C34" s="82">
        <f>IF($A34="","",Employés!C34)</f>
        <v/>
      </c>
      <c r="D34" s="83">
        <f>IF($A34="","",N(Employés!K34))</f>
        <v/>
      </c>
      <c r="E34" s="83">
        <f>IF($A34="","",N(Employés!L34))</f>
        <v/>
      </c>
      <c r="F34" s="83">
        <f>IF($A34="","",IF(Employés!U34&lt;&gt;"Oui",0,IF(N(Employés!R34)&gt;=N(Employés!T34),ROUND(D34*IF(N(Employés!S34)&gt;0,Employés!S34,TX_ANC_DEF),0),0)))</f>
        <v/>
      </c>
      <c r="G34" s="83">
        <f>IF($A34="","",SUMIFS('Retenues internes'!$F$41:$F$1040,'Retenues internes'!$A$41:$A$1040,PERIODE_DATE,'Retenues internes'!$B$41:$B$1040,$A34))</f>
        <v/>
      </c>
      <c r="H34" s="83">
        <f>IF($A34="","",MAX(D34+E34+F34-G34,0))</f>
        <v/>
      </c>
      <c r="I34" s="83">
        <f>IF($A34="","",MAX(N(Employés!M34)+F34-G34,0))</f>
        <v/>
      </c>
      <c r="J34" s="83">
        <f>IF($A34="","",MIN(ROUND(I34*COEF_ASSIETTE,0),PLAFOND_CNPS))</f>
        <v/>
      </c>
      <c r="K34" s="83">
        <f>IF($A34="","",ROUND(J34*TX_VID_SAL,0))</f>
        <v/>
      </c>
      <c r="L34" s="83">
        <f>IF($A34="","",ROUND(J34*TX_VID_PAT,0))</f>
        <v/>
      </c>
      <c r="M34" s="83">
        <f>IF($A34="","",ROUND(J34*TX_PF,0))</f>
        <v/>
      </c>
      <c r="N34" s="83">
        <f>IF($A34="","",ROUND(J34*TX_AT,0))</f>
        <v/>
      </c>
      <c r="O34" s="83">
        <f>IF($A34="","",ROUND(I34*TX_CFC_SAL,0))</f>
        <v/>
      </c>
      <c r="P34" s="83">
        <f>IF($A34="","",ROUND(I34*TX_CFC_PAT,0))</f>
        <v/>
      </c>
      <c r="Q34" s="83">
        <f>IF($A34="","",ROUND(I34*TX_FNE,0))</f>
        <v/>
      </c>
      <c r="R34" s="83">
        <f>IF($A34="","",IF(H34&lt;=TC_S1,TC_V1,IF(H34&lt;=TC_S2,TC_V2,TC_V3)))</f>
        <v/>
      </c>
      <c r="S34" s="83">
        <f>IF($A34="","",IF(H34&lt;=TC_S1,RAV_V1,IF(H34&lt;=TC_S2,RAV_V2,RAV_V3)))</f>
        <v/>
      </c>
      <c r="T34" s="83">
        <f>IF($A34="","",MAX(I34*12*(1-ABAT_PCT)-ABAT_FIXE,0)/IF(Employés!V34="Oui",MAX(N(Employés!Q34),1),1))</f>
        <v/>
      </c>
      <c r="U34" s="83">
        <f>IF($A34="","",ROUND((IF(T34&lt;=IRPP_P1,T34*IRPP_T1,IF(T34&lt;=IRPP_P2,IRPP_P1*IRPP_T1+(T34-IRPP_P1)*IRPP_T2,IF(T34&lt;=IRPP_P3,IRPP_P1*IRPP_T1+(IRPP_P2-IRPP_P1)*IRPP_T2+(T34-IRPP_P2)*IRPP_T3,IRPP_P1*IRPP_T1+(IRPP_P2-IRPP_P1)*IRPP_T2+(IRPP_P3-IRPP_P2)*IRPP_T3+(T34-IRPP_P3)*IRPP_T4))))*(1+TX_CAC)/12,0))</f>
        <v/>
      </c>
      <c r="V34" s="83">
        <f>IF($A34="","",SUMIFS('Retenues internes'!$D$41:$D$1040,'Retenues internes'!$A$41:$A$1040,PERIODE_DATE,'Retenues internes'!$B$41:$B$1040,$A34))</f>
        <v/>
      </c>
      <c r="W34" s="83">
        <f>IF($A34="","",SUMIFS('Retenues internes'!$E$41:$E$1040,'Retenues internes'!$A$41:$A$1040,PERIODE_DATE,'Retenues internes'!$B$41:$B$1040,$A34))</f>
        <v/>
      </c>
      <c r="X34" s="83">
        <f>IF($A34="","",SUMIFS('Retenues internes'!$G$41:$G$1040,'Retenues internes'!$A$41:$A$1040,PERIODE_DATE,'Retenues internes'!$B$41:$B$1040,$A34))</f>
        <v/>
      </c>
      <c r="Y34" s="83">
        <f>IF($A34="","",SUMIFS('Retenues internes'!$H$41:$H$1040,'Retenues internes'!$A$41:$A$1040,PERIODE_DATE,'Retenues internes'!$B$41:$B$1040,$A34))</f>
        <v/>
      </c>
      <c r="Z34" s="83">
        <f>IF($A34="","",V34+W34+X34+Y34)</f>
        <v/>
      </c>
      <c r="AA34" s="83">
        <f>IF($A34="","",K34+O34+R34+S34+U34)</f>
        <v/>
      </c>
      <c r="AB34" s="82">
        <f>IF($A34="","",L34+M34+N34+P34+Q34)</f>
        <v/>
      </c>
      <c r="AC34" s="83">
        <f>IF($A34="","",H34-AA34-Z34)</f>
        <v/>
      </c>
      <c r="AD34" s="83">
        <f>IF($A34="","",H34+AB34)</f>
        <v/>
      </c>
    </row>
    <row r="35" ht="15" customHeight="1" s="71">
      <c r="A35" s="82">
        <f>IF(OR(Employés!A35="",Employés!N35&lt;&gt;"Actif"),"",Employés!A35)</f>
        <v/>
      </c>
      <c r="B35" s="82">
        <f>IF($A35="","",Employés!B35)</f>
        <v/>
      </c>
      <c r="C35" s="82">
        <f>IF($A35="","",Employés!C35)</f>
        <v/>
      </c>
      <c r="D35" s="83">
        <f>IF($A35="","",N(Employés!K35))</f>
        <v/>
      </c>
      <c r="E35" s="83">
        <f>IF($A35="","",N(Employés!L35))</f>
        <v/>
      </c>
      <c r="F35" s="83">
        <f>IF($A35="","",IF(Employés!U35&lt;&gt;"Oui",0,IF(N(Employés!R35)&gt;=N(Employés!T35),ROUND(D35*IF(N(Employés!S35)&gt;0,Employés!S35,TX_ANC_DEF),0),0)))</f>
        <v/>
      </c>
      <c r="G35" s="83">
        <f>IF($A35="","",SUMIFS('Retenues internes'!$F$41:$F$1040,'Retenues internes'!$A$41:$A$1040,PERIODE_DATE,'Retenues internes'!$B$41:$B$1040,$A35))</f>
        <v/>
      </c>
      <c r="H35" s="83">
        <f>IF($A35="","",MAX(D35+E35+F35-G35,0))</f>
        <v/>
      </c>
      <c r="I35" s="83">
        <f>IF($A35="","",MAX(N(Employés!M35)+F35-G35,0))</f>
        <v/>
      </c>
      <c r="J35" s="83">
        <f>IF($A35="","",MIN(ROUND(I35*COEF_ASSIETTE,0),PLAFOND_CNPS))</f>
        <v/>
      </c>
      <c r="K35" s="83">
        <f>IF($A35="","",ROUND(J35*TX_VID_SAL,0))</f>
        <v/>
      </c>
      <c r="L35" s="83">
        <f>IF($A35="","",ROUND(J35*TX_VID_PAT,0))</f>
        <v/>
      </c>
      <c r="M35" s="83">
        <f>IF($A35="","",ROUND(J35*TX_PF,0))</f>
        <v/>
      </c>
      <c r="N35" s="83">
        <f>IF($A35="","",ROUND(J35*TX_AT,0))</f>
        <v/>
      </c>
      <c r="O35" s="83">
        <f>IF($A35="","",ROUND(I35*TX_CFC_SAL,0))</f>
        <v/>
      </c>
      <c r="P35" s="83">
        <f>IF($A35="","",ROUND(I35*TX_CFC_PAT,0))</f>
        <v/>
      </c>
      <c r="Q35" s="83">
        <f>IF($A35="","",ROUND(I35*TX_FNE,0))</f>
        <v/>
      </c>
      <c r="R35" s="83">
        <f>IF($A35="","",IF(H35&lt;=TC_S1,TC_V1,IF(H35&lt;=TC_S2,TC_V2,TC_V3)))</f>
        <v/>
      </c>
      <c r="S35" s="83">
        <f>IF($A35="","",IF(H35&lt;=TC_S1,RAV_V1,IF(H35&lt;=TC_S2,RAV_V2,RAV_V3)))</f>
        <v/>
      </c>
      <c r="T35" s="83">
        <f>IF($A35="","",MAX(I35*12*(1-ABAT_PCT)-ABAT_FIXE,0)/IF(Employés!V35="Oui",MAX(N(Employés!Q35),1),1))</f>
        <v/>
      </c>
      <c r="U35" s="83">
        <f>IF($A35="","",ROUND((IF(T35&lt;=IRPP_P1,T35*IRPP_T1,IF(T35&lt;=IRPP_P2,IRPP_P1*IRPP_T1+(T35-IRPP_P1)*IRPP_T2,IF(T35&lt;=IRPP_P3,IRPP_P1*IRPP_T1+(IRPP_P2-IRPP_P1)*IRPP_T2+(T35-IRPP_P2)*IRPP_T3,IRPP_P1*IRPP_T1+(IRPP_P2-IRPP_P1)*IRPP_T2+(IRPP_P3-IRPP_P2)*IRPP_T3+(T35-IRPP_P3)*IRPP_T4))))*(1+TX_CAC)/12,0))</f>
        <v/>
      </c>
      <c r="V35" s="83">
        <f>IF($A35="","",SUMIFS('Retenues internes'!$D$41:$D$1040,'Retenues internes'!$A$41:$A$1040,PERIODE_DATE,'Retenues internes'!$B$41:$B$1040,$A35))</f>
        <v/>
      </c>
      <c r="W35" s="83">
        <f>IF($A35="","",SUMIFS('Retenues internes'!$E$41:$E$1040,'Retenues internes'!$A$41:$A$1040,PERIODE_DATE,'Retenues internes'!$B$41:$B$1040,$A35))</f>
        <v/>
      </c>
      <c r="X35" s="83">
        <f>IF($A35="","",SUMIFS('Retenues internes'!$G$41:$G$1040,'Retenues internes'!$A$41:$A$1040,PERIODE_DATE,'Retenues internes'!$B$41:$B$1040,$A35))</f>
        <v/>
      </c>
      <c r="Y35" s="83">
        <f>IF($A35="","",SUMIFS('Retenues internes'!$H$41:$H$1040,'Retenues internes'!$A$41:$A$1040,PERIODE_DATE,'Retenues internes'!$B$41:$B$1040,$A35))</f>
        <v/>
      </c>
      <c r="Z35" s="83">
        <f>IF($A35="","",V35+W35+X35+Y35)</f>
        <v/>
      </c>
      <c r="AA35" s="83">
        <f>IF($A35="","",K35+O35+R35+S35+U35)</f>
        <v/>
      </c>
      <c r="AB35" s="82">
        <f>IF($A35="","",L35+M35+N35+P35+Q35)</f>
        <v/>
      </c>
      <c r="AC35" s="83">
        <f>IF($A35="","",H35-AA35-Z35)</f>
        <v/>
      </c>
      <c r="AD35" s="83">
        <f>IF($A35="","",H35+AB35)</f>
        <v/>
      </c>
    </row>
    <row r="36" ht="15" customHeight="1" s="71">
      <c r="A36" s="82">
        <f>IF(OR(Employés!A36="",Employés!N36&lt;&gt;"Actif"),"",Employés!A36)</f>
        <v/>
      </c>
      <c r="B36" s="82">
        <f>IF($A36="","",Employés!B36)</f>
        <v/>
      </c>
      <c r="C36" s="82">
        <f>IF($A36="","",Employés!C36)</f>
        <v/>
      </c>
      <c r="D36" s="83">
        <f>IF($A36="","",N(Employés!K36))</f>
        <v/>
      </c>
      <c r="E36" s="83">
        <f>IF($A36="","",N(Employés!L36))</f>
        <v/>
      </c>
      <c r="F36" s="83">
        <f>IF($A36="","",IF(Employés!U36&lt;&gt;"Oui",0,IF(N(Employés!R36)&gt;=N(Employés!T36),ROUND(D36*IF(N(Employés!S36)&gt;0,Employés!S36,TX_ANC_DEF),0),0)))</f>
        <v/>
      </c>
      <c r="G36" s="83">
        <f>IF($A36="","",SUMIFS('Retenues internes'!$F$41:$F$1040,'Retenues internes'!$A$41:$A$1040,PERIODE_DATE,'Retenues internes'!$B$41:$B$1040,$A36))</f>
        <v/>
      </c>
      <c r="H36" s="83">
        <f>IF($A36="","",MAX(D36+E36+F36-G36,0))</f>
        <v/>
      </c>
      <c r="I36" s="83">
        <f>IF($A36="","",MAX(N(Employés!M36)+F36-G36,0))</f>
        <v/>
      </c>
      <c r="J36" s="83">
        <f>IF($A36="","",MIN(ROUND(I36*COEF_ASSIETTE,0),PLAFOND_CNPS))</f>
        <v/>
      </c>
      <c r="K36" s="83">
        <f>IF($A36="","",ROUND(J36*TX_VID_SAL,0))</f>
        <v/>
      </c>
      <c r="L36" s="83">
        <f>IF($A36="","",ROUND(J36*TX_VID_PAT,0))</f>
        <v/>
      </c>
      <c r="M36" s="83">
        <f>IF($A36="","",ROUND(J36*TX_PF,0))</f>
        <v/>
      </c>
      <c r="N36" s="83">
        <f>IF($A36="","",ROUND(J36*TX_AT,0))</f>
        <v/>
      </c>
      <c r="O36" s="83">
        <f>IF($A36="","",ROUND(I36*TX_CFC_SAL,0))</f>
        <v/>
      </c>
      <c r="P36" s="83">
        <f>IF($A36="","",ROUND(I36*TX_CFC_PAT,0))</f>
        <v/>
      </c>
      <c r="Q36" s="83">
        <f>IF($A36="","",ROUND(I36*TX_FNE,0))</f>
        <v/>
      </c>
      <c r="R36" s="83">
        <f>IF($A36="","",IF(H36&lt;=TC_S1,TC_V1,IF(H36&lt;=TC_S2,TC_V2,TC_V3)))</f>
        <v/>
      </c>
      <c r="S36" s="83">
        <f>IF($A36="","",IF(H36&lt;=TC_S1,RAV_V1,IF(H36&lt;=TC_S2,RAV_V2,RAV_V3)))</f>
        <v/>
      </c>
      <c r="T36" s="83">
        <f>IF($A36="","",MAX(I36*12*(1-ABAT_PCT)-ABAT_FIXE,0)/IF(Employés!V36="Oui",MAX(N(Employés!Q36),1),1))</f>
        <v/>
      </c>
      <c r="U36" s="83">
        <f>IF($A36="","",ROUND((IF(T36&lt;=IRPP_P1,T36*IRPP_T1,IF(T36&lt;=IRPP_P2,IRPP_P1*IRPP_T1+(T36-IRPP_P1)*IRPP_T2,IF(T36&lt;=IRPP_P3,IRPP_P1*IRPP_T1+(IRPP_P2-IRPP_P1)*IRPP_T2+(T36-IRPP_P2)*IRPP_T3,IRPP_P1*IRPP_T1+(IRPP_P2-IRPP_P1)*IRPP_T2+(IRPP_P3-IRPP_P2)*IRPP_T3+(T36-IRPP_P3)*IRPP_T4))))*(1+TX_CAC)/12,0))</f>
        <v/>
      </c>
      <c r="V36" s="83">
        <f>IF($A36="","",SUMIFS('Retenues internes'!$D$41:$D$1040,'Retenues internes'!$A$41:$A$1040,PERIODE_DATE,'Retenues internes'!$B$41:$B$1040,$A36))</f>
        <v/>
      </c>
      <c r="W36" s="83">
        <f>IF($A36="","",SUMIFS('Retenues internes'!$E$41:$E$1040,'Retenues internes'!$A$41:$A$1040,PERIODE_DATE,'Retenues internes'!$B$41:$B$1040,$A36))</f>
        <v/>
      </c>
      <c r="X36" s="83">
        <f>IF($A36="","",SUMIFS('Retenues internes'!$G$41:$G$1040,'Retenues internes'!$A$41:$A$1040,PERIODE_DATE,'Retenues internes'!$B$41:$B$1040,$A36))</f>
        <v/>
      </c>
      <c r="Y36" s="83">
        <f>IF($A36="","",SUMIFS('Retenues internes'!$H$41:$H$1040,'Retenues internes'!$A$41:$A$1040,PERIODE_DATE,'Retenues internes'!$B$41:$B$1040,$A36))</f>
        <v/>
      </c>
      <c r="Z36" s="83">
        <f>IF($A36="","",V36+W36+X36+Y36)</f>
        <v/>
      </c>
      <c r="AA36" s="83">
        <f>IF($A36="","",K36+O36+R36+S36+U36)</f>
        <v/>
      </c>
      <c r="AB36" s="82">
        <f>IF($A36="","",L36+M36+N36+P36+Q36)</f>
        <v/>
      </c>
      <c r="AC36" s="83">
        <f>IF($A36="","",H36-AA36-Z36)</f>
        <v/>
      </c>
      <c r="AD36" s="83">
        <f>IF($A36="","",H36+AB36)</f>
        <v/>
      </c>
    </row>
    <row r="37" ht="15" customHeight="1" s="71">
      <c r="A37" s="82">
        <f>IF(OR(Employés!A37="",Employés!N37&lt;&gt;"Actif"),"",Employés!A37)</f>
        <v/>
      </c>
      <c r="B37" s="82">
        <f>IF($A37="","",Employés!B37)</f>
        <v/>
      </c>
      <c r="C37" s="82">
        <f>IF($A37="","",Employés!C37)</f>
        <v/>
      </c>
      <c r="D37" s="83">
        <f>IF($A37="","",N(Employés!K37))</f>
        <v/>
      </c>
      <c r="E37" s="83">
        <f>IF($A37="","",N(Employés!L37))</f>
        <v/>
      </c>
      <c r="F37" s="83">
        <f>IF($A37="","",IF(Employés!U37&lt;&gt;"Oui",0,IF(N(Employés!R37)&gt;=N(Employés!T37),ROUND(D37*IF(N(Employés!S37)&gt;0,Employés!S37,TX_ANC_DEF),0),0)))</f>
        <v/>
      </c>
      <c r="G37" s="83">
        <f>IF($A37="","",SUMIFS('Retenues internes'!$F$41:$F$1040,'Retenues internes'!$A$41:$A$1040,PERIODE_DATE,'Retenues internes'!$B$41:$B$1040,$A37))</f>
        <v/>
      </c>
      <c r="H37" s="83">
        <f>IF($A37="","",MAX(D37+E37+F37-G37,0))</f>
        <v/>
      </c>
      <c r="I37" s="83">
        <f>IF($A37="","",MAX(N(Employés!M37)+F37-G37,0))</f>
        <v/>
      </c>
      <c r="J37" s="83">
        <f>IF($A37="","",MIN(ROUND(I37*COEF_ASSIETTE,0),PLAFOND_CNPS))</f>
        <v/>
      </c>
      <c r="K37" s="83">
        <f>IF($A37="","",ROUND(J37*TX_VID_SAL,0))</f>
        <v/>
      </c>
      <c r="L37" s="83">
        <f>IF($A37="","",ROUND(J37*TX_VID_PAT,0))</f>
        <v/>
      </c>
      <c r="M37" s="83">
        <f>IF($A37="","",ROUND(J37*TX_PF,0))</f>
        <v/>
      </c>
      <c r="N37" s="83">
        <f>IF($A37="","",ROUND(J37*TX_AT,0))</f>
        <v/>
      </c>
      <c r="O37" s="83">
        <f>IF($A37="","",ROUND(I37*TX_CFC_SAL,0))</f>
        <v/>
      </c>
      <c r="P37" s="83">
        <f>IF($A37="","",ROUND(I37*TX_CFC_PAT,0))</f>
        <v/>
      </c>
      <c r="Q37" s="83">
        <f>IF($A37="","",ROUND(I37*TX_FNE,0))</f>
        <v/>
      </c>
      <c r="R37" s="83">
        <f>IF($A37="","",IF(H37&lt;=TC_S1,TC_V1,IF(H37&lt;=TC_S2,TC_V2,TC_V3)))</f>
        <v/>
      </c>
      <c r="S37" s="83">
        <f>IF($A37="","",IF(H37&lt;=TC_S1,RAV_V1,IF(H37&lt;=TC_S2,RAV_V2,RAV_V3)))</f>
        <v/>
      </c>
      <c r="T37" s="83">
        <f>IF($A37="","",MAX(I37*12*(1-ABAT_PCT)-ABAT_FIXE,0)/IF(Employés!V37="Oui",MAX(N(Employés!Q37),1),1))</f>
        <v/>
      </c>
      <c r="U37" s="83">
        <f>IF($A37="","",ROUND((IF(T37&lt;=IRPP_P1,T37*IRPP_T1,IF(T37&lt;=IRPP_P2,IRPP_P1*IRPP_T1+(T37-IRPP_P1)*IRPP_T2,IF(T37&lt;=IRPP_P3,IRPP_P1*IRPP_T1+(IRPP_P2-IRPP_P1)*IRPP_T2+(T37-IRPP_P2)*IRPP_T3,IRPP_P1*IRPP_T1+(IRPP_P2-IRPP_P1)*IRPP_T2+(IRPP_P3-IRPP_P2)*IRPP_T3+(T37-IRPP_P3)*IRPP_T4))))*(1+TX_CAC)/12,0))</f>
        <v/>
      </c>
      <c r="V37" s="83">
        <f>IF($A37="","",SUMIFS('Retenues internes'!$D$41:$D$1040,'Retenues internes'!$A$41:$A$1040,PERIODE_DATE,'Retenues internes'!$B$41:$B$1040,$A37))</f>
        <v/>
      </c>
      <c r="W37" s="83">
        <f>IF($A37="","",SUMIFS('Retenues internes'!$E$41:$E$1040,'Retenues internes'!$A$41:$A$1040,PERIODE_DATE,'Retenues internes'!$B$41:$B$1040,$A37))</f>
        <v/>
      </c>
      <c r="X37" s="83">
        <f>IF($A37="","",SUMIFS('Retenues internes'!$G$41:$G$1040,'Retenues internes'!$A$41:$A$1040,PERIODE_DATE,'Retenues internes'!$B$41:$B$1040,$A37))</f>
        <v/>
      </c>
      <c r="Y37" s="83">
        <f>IF($A37="","",SUMIFS('Retenues internes'!$H$41:$H$1040,'Retenues internes'!$A$41:$A$1040,PERIODE_DATE,'Retenues internes'!$B$41:$B$1040,$A37))</f>
        <v/>
      </c>
      <c r="Z37" s="83">
        <f>IF($A37="","",V37+W37+X37+Y37)</f>
        <v/>
      </c>
      <c r="AA37" s="83">
        <f>IF($A37="","",K37+O37+R37+S37+U37)</f>
        <v/>
      </c>
      <c r="AB37" s="82">
        <f>IF($A37="","",L37+M37+N37+P37+Q37)</f>
        <v/>
      </c>
      <c r="AC37" s="83">
        <f>IF($A37="","",H37-AA37-Z37)</f>
        <v/>
      </c>
      <c r="AD37" s="83">
        <f>IF($A37="","",H37+AB37)</f>
        <v/>
      </c>
    </row>
    <row r="38" ht="15" customHeight="1" s="71">
      <c r="A38" s="82">
        <f>IF(OR(Employés!A38="",Employés!N38&lt;&gt;"Actif"),"",Employés!A38)</f>
        <v/>
      </c>
      <c r="B38" s="82">
        <f>IF($A38="","",Employés!B38)</f>
        <v/>
      </c>
      <c r="C38" s="82">
        <f>IF($A38="","",Employés!C38)</f>
        <v/>
      </c>
      <c r="D38" s="83">
        <f>IF($A38="","",N(Employés!K38))</f>
        <v/>
      </c>
      <c r="E38" s="83">
        <f>IF($A38="","",N(Employés!L38))</f>
        <v/>
      </c>
      <c r="F38" s="83">
        <f>IF($A38="","",IF(Employés!U38&lt;&gt;"Oui",0,IF(N(Employés!R38)&gt;=N(Employés!T38),ROUND(D38*IF(N(Employés!S38)&gt;0,Employés!S38,TX_ANC_DEF),0),0)))</f>
        <v/>
      </c>
      <c r="G38" s="83">
        <f>IF($A38="","",SUMIFS('Retenues internes'!$F$41:$F$1040,'Retenues internes'!$A$41:$A$1040,PERIODE_DATE,'Retenues internes'!$B$41:$B$1040,$A38))</f>
        <v/>
      </c>
      <c r="H38" s="83">
        <f>IF($A38="","",MAX(D38+E38+F38-G38,0))</f>
        <v/>
      </c>
      <c r="I38" s="83">
        <f>IF($A38="","",MAX(N(Employés!M38)+F38-G38,0))</f>
        <v/>
      </c>
      <c r="J38" s="83">
        <f>IF($A38="","",MIN(ROUND(I38*COEF_ASSIETTE,0),PLAFOND_CNPS))</f>
        <v/>
      </c>
      <c r="K38" s="83">
        <f>IF($A38="","",ROUND(J38*TX_VID_SAL,0))</f>
        <v/>
      </c>
      <c r="L38" s="83">
        <f>IF($A38="","",ROUND(J38*TX_VID_PAT,0))</f>
        <v/>
      </c>
      <c r="M38" s="83">
        <f>IF($A38="","",ROUND(J38*TX_PF,0))</f>
        <v/>
      </c>
      <c r="N38" s="83">
        <f>IF($A38="","",ROUND(J38*TX_AT,0))</f>
        <v/>
      </c>
      <c r="O38" s="83">
        <f>IF($A38="","",ROUND(I38*TX_CFC_SAL,0))</f>
        <v/>
      </c>
      <c r="P38" s="83">
        <f>IF($A38="","",ROUND(I38*TX_CFC_PAT,0))</f>
        <v/>
      </c>
      <c r="Q38" s="83">
        <f>IF($A38="","",ROUND(I38*TX_FNE,0))</f>
        <v/>
      </c>
      <c r="R38" s="83">
        <f>IF($A38="","",IF(H38&lt;=TC_S1,TC_V1,IF(H38&lt;=TC_S2,TC_V2,TC_V3)))</f>
        <v/>
      </c>
      <c r="S38" s="83">
        <f>IF($A38="","",IF(H38&lt;=TC_S1,RAV_V1,IF(H38&lt;=TC_S2,RAV_V2,RAV_V3)))</f>
        <v/>
      </c>
      <c r="T38" s="83">
        <f>IF($A38="","",MAX(I38*12*(1-ABAT_PCT)-ABAT_FIXE,0)/IF(Employés!V38="Oui",MAX(N(Employés!Q38),1),1))</f>
        <v/>
      </c>
      <c r="U38" s="83">
        <f>IF($A38="","",ROUND((IF(T38&lt;=IRPP_P1,T38*IRPP_T1,IF(T38&lt;=IRPP_P2,IRPP_P1*IRPP_T1+(T38-IRPP_P1)*IRPP_T2,IF(T38&lt;=IRPP_P3,IRPP_P1*IRPP_T1+(IRPP_P2-IRPP_P1)*IRPP_T2+(T38-IRPP_P2)*IRPP_T3,IRPP_P1*IRPP_T1+(IRPP_P2-IRPP_P1)*IRPP_T2+(IRPP_P3-IRPP_P2)*IRPP_T3+(T38-IRPP_P3)*IRPP_T4))))*(1+TX_CAC)/12,0))</f>
        <v/>
      </c>
      <c r="V38" s="83">
        <f>IF($A38="","",SUMIFS('Retenues internes'!$D$41:$D$1040,'Retenues internes'!$A$41:$A$1040,PERIODE_DATE,'Retenues internes'!$B$41:$B$1040,$A38))</f>
        <v/>
      </c>
      <c r="W38" s="83">
        <f>IF($A38="","",SUMIFS('Retenues internes'!$E$41:$E$1040,'Retenues internes'!$A$41:$A$1040,PERIODE_DATE,'Retenues internes'!$B$41:$B$1040,$A38))</f>
        <v/>
      </c>
      <c r="X38" s="83">
        <f>IF($A38="","",SUMIFS('Retenues internes'!$G$41:$G$1040,'Retenues internes'!$A$41:$A$1040,PERIODE_DATE,'Retenues internes'!$B$41:$B$1040,$A38))</f>
        <v/>
      </c>
      <c r="Y38" s="83">
        <f>IF($A38="","",SUMIFS('Retenues internes'!$H$41:$H$1040,'Retenues internes'!$A$41:$A$1040,PERIODE_DATE,'Retenues internes'!$B$41:$B$1040,$A38))</f>
        <v/>
      </c>
      <c r="Z38" s="83">
        <f>IF($A38="","",V38+W38+X38+Y38)</f>
        <v/>
      </c>
      <c r="AA38" s="83">
        <f>IF($A38="","",K38+O38+R38+S38+U38)</f>
        <v/>
      </c>
      <c r="AB38" s="82">
        <f>IF($A38="","",L38+M38+N38+P38+Q38)</f>
        <v/>
      </c>
      <c r="AC38" s="83">
        <f>IF($A38="","",H38-AA38-Z38)</f>
        <v/>
      </c>
      <c r="AD38" s="83">
        <f>IF($A38="","",H38+AB38)</f>
        <v/>
      </c>
    </row>
    <row r="39" ht="15" customHeight="1" s="71">
      <c r="A39" s="82">
        <f>IF(OR(Employés!A39="",Employés!N39&lt;&gt;"Actif"),"",Employés!A39)</f>
        <v/>
      </c>
      <c r="B39" s="82">
        <f>IF($A39="","",Employés!B39)</f>
        <v/>
      </c>
      <c r="C39" s="82">
        <f>IF($A39="","",Employés!C39)</f>
        <v/>
      </c>
      <c r="D39" s="83">
        <f>IF($A39="","",N(Employés!K39))</f>
        <v/>
      </c>
      <c r="E39" s="83">
        <f>IF($A39="","",N(Employés!L39))</f>
        <v/>
      </c>
      <c r="F39" s="83">
        <f>IF($A39="","",IF(Employés!U39&lt;&gt;"Oui",0,IF(N(Employés!R39)&gt;=N(Employés!T39),ROUND(D39*IF(N(Employés!S39)&gt;0,Employés!S39,TX_ANC_DEF),0),0)))</f>
        <v/>
      </c>
      <c r="G39" s="83">
        <f>IF($A39="","",SUMIFS('Retenues internes'!$F$41:$F$1040,'Retenues internes'!$A$41:$A$1040,PERIODE_DATE,'Retenues internes'!$B$41:$B$1040,$A39))</f>
        <v/>
      </c>
      <c r="H39" s="83">
        <f>IF($A39="","",MAX(D39+E39+F39-G39,0))</f>
        <v/>
      </c>
      <c r="I39" s="83">
        <f>IF($A39="","",MAX(N(Employés!M39)+F39-G39,0))</f>
        <v/>
      </c>
      <c r="J39" s="83">
        <f>IF($A39="","",MIN(ROUND(I39*COEF_ASSIETTE,0),PLAFOND_CNPS))</f>
        <v/>
      </c>
      <c r="K39" s="83">
        <f>IF($A39="","",ROUND(J39*TX_VID_SAL,0))</f>
        <v/>
      </c>
      <c r="L39" s="83">
        <f>IF($A39="","",ROUND(J39*TX_VID_PAT,0))</f>
        <v/>
      </c>
      <c r="M39" s="83">
        <f>IF($A39="","",ROUND(J39*TX_PF,0))</f>
        <v/>
      </c>
      <c r="N39" s="83">
        <f>IF($A39="","",ROUND(J39*TX_AT,0))</f>
        <v/>
      </c>
      <c r="O39" s="83">
        <f>IF($A39="","",ROUND(I39*TX_CFC_SAL,0))</f>
        <v/>
      </c>
      <c r="P39" s="83">
        <f>IF($A39="","",ROUND(I39*TX_CFC_PAT,0))</f>
        <v/>
      </c>
      <c r="Q39" s="83">
        <f>IF($A39="","",ROUND(I39*TX_FNE,0))</f>
        <v/>
      </c>
      <c r="R39" s="83">
        <f>IF($A39="","",IF(H39&lt;=TC_S1,TC_V1,IF(H39&lt;=TC_S2,TC_V2,TC_V3)))</f>
        <v/>
      </c>
      <c r="S39" s="83">
        <f>IF($A39="","",IF(H39&lt;=TC_S1,RAV_V1,IF(H39&lt;=TC_S2,RAV_V2,RAV_V3)))</f>
        <v/>
      </c>
      <c r="T39" s="83">
        <f>IF($A39="","",MAX(I39*12*(1-ABAT_PCT)-ABAT_FIXE,0)/IF(Employés!V39="Oui",MAX(N(Employés!Q39),1),1))</f>
        <v/>
      </c>
      <c r="U39" s="83">
        <f>IF($A39="","",ROUND((IF(T39&lt;=IRPP_P1,T39*IRPP_T1,IF(T39&lt;=IRPP_P2,IRPP_P1*IRPP_T1+(T39-IRPP_P1)*IRPP_T2,IF(T39&lt;=IRPP_P3,IRPP_P1*IRPP_T1+(IRPP_P2-IRPP_P1)*IRPP_T2+(T39-IRPP_P2)*IRPP_T3,IRPP_P1*IRPP_T1+(IRPP_P2-IRPP_P1)*IRPP_T2+(IRPP_P3-IRPP_P2)*IRPP_T3+(T39-IRPP_P3)*IRPP_T4))))*(1+TX_CAC)/12,0))</f>
        <v/>
      </c>
      <c r="V39" s="83">
        <f>IF($A39="","",SUMIFS('Retenues internes'!$D$41:$D$1040,'Retenues internes'!$A$41:$A$1040,PERIODE_DATE,'Retenues internes'!$B$41:$B$1040,$A39))</f>
        <v/>
      </c>
      <c r="W39" s="83">
        <f>IF($A39="","",SUMIFS('Retenues internes'!$E$41:$E$1040,'Retenues internes'!$A$41:$A$1040,PERIODE_DATE,'Retenues internes'!$B$41:$B$1040,$A39))</f>
        <v/>
      </c>
      <c r="X39" s="83">
        <f>IF($A39="","",SUMIFS('Retenues internes'!$G$41:$G$1040,'Retenues internes'!$A$41:$A$1040,PERIODE_DATE,'Retenues internes'!$B$41:$B$1040,$A39))</f>
        <v/>
      </c>
      <c r="Y39" s="83">
        <f>IF($A39="","",SUMIFS('Retenues internes'!$H$41:$H$1040,'Retenues internes'!$A$41:$A$1040,PERIODE_DATE,'Retenues internes'!$B$41:$B$1040,$A39))</f>
        <v/>
      </c>
      <c r="Z39" s="83">
        <f>IF($A39="","",V39+W39+X39+Y39)</f>
        <v/>
      </c>
      <c r="AA39" s="83">
        <f>IF($A39="","",K39+O39+R39+S39+U39)</f>
        <v/>
      </c>
      <c r="AB39" s="82">
        <f>IF($A39="","",L39+M39+N39+P39+Q39)</f>
        <v/>
      </c>
      <c r="AC39" s="83">
        <f>IF($A39="","",H39-AA39-Z39)</f>
        <v/>
      </c>
      <c r="AD39" s="83">
        <f>IF($A39="","",H39+AB39)</f>
        <v/>
      </c>
    </row>
    <row r="40" ht="15" customHeight="1" s="71">
      <c r="A40" s="82">
        <f>IF(OR(Employés!A40="",Employés!N40&lt;&gt;"Actif"),"",Employés!A40)</f>
        <v/>
      </c>
      <c r="B40" s="82">
        <f>IF($A40="","",Employés!B40)</f>
        <v/>
      </c>
      <c r="C40" s="82">
        <f>IF($A40="","",Employés!C40)</f>
        <v/>
      </c>
      <c r="D40" s="83">
        <f>IF($A40="","",N(Employés!K40))</f>
        <v/>
      </c>
      <c r="E40" s="83">
        <f>IF($A40="","",N(Employés!L40))</f>
        <v/>
      </c>
      <c r="F40" s="83">
        <f>IF($A40="","",IF(Employés!U40&lt;&gt;"Oui",0,IF(N(Employés!R40)&gt;=N(Employés!T40),ROUND(D40*IF(N(Employés!S40)&gt;0,Employés!S40,TX_ANC_DEF),0),0)))</f>
        <v/>
      </c>
      <c r="G40" s="83">
        <f>IF($A40="","",SUMIFS('Retenues internes'!$F$41:$F$1040,'Retenues internes'!$A$41:$A$1040,PERIODE_DATE,'Retenues internes'!$B$41:$B$1040,$A40))</f>
        <v/>
      </c>
      <c r="H40" s="83">
        <f>IF($A40="","",MAX(D40+E40+F40-G40,0))</f>
        <v/>
      </c>
      <c r="I40" s="83">
        <f>IF($A40="","",MAX(N(Employés!M40)+F40-G40,0))</f>
        <v/>
      </c>
      <c r="J40" s="83">
        <f>IF($A40="","",MIN(ROUND(I40*COEF_ASSIETTE,0),PLAFOND_CNPS))</f>
        <v/>
      </c>
      <c r="K40" s="83">
        <f>IF($A40="","",ROUND(J40*TX_VID_SAL,0))</f>
        <v/>
      </c>
      <c r="L40" s="83">
        <f>IF($A40="","",ROUND(J40*TX_VID_PAT,0))</f>
        <v/>
      </c>
      <c r="M40" s="83">
        <f>IF($A40="","",ROUND(J40*TX_PF,0))</f>
        <v/>
      </c>
      <c r="N40" s="83">
        <f>IF($A40="","",ROUND(J40*TX_AT,0))</f>
        <v/>
      </c>
      <c r="O40" s="83">
        <f>IF($A40="","",ROUND(I40*TX_CFC_SAL,0))</f>
        <v/>
      </c>
      <c r="P40" s="83">
        <f>IF($A40="","",ROUND(I40*TX_CFC_PAT,0))</f>
        <v/>
      </c>
      <c r="Q40" s="83">
        <f>IF($A40="","",ROUND(I40*TX_FNE,0))</f>
        <v/>
      </c>
      <c r="R40" s="83">
        <f>IF($A40="","",IF(H40&lt;=TC_S1,TC_V1,IF(H40&lt;=TC_S2,TC_V2,TC_V3)))</f>
        <v/>
      </c>
      <c r="S40" s="83">
        <f>IF($A40="","",IF(H40&lt;=TC_S1,RAV_V1,IF(H40&lt;=TC_S2,RAV_V2,RAV_V3)))</f>
        <v/>
      </c>
      <c r="T40" s="83">
        <f>IF($A40="","",MAX(I40*12*(1-ABAT_PCT)-ABAT_FIXE,0)/IF(Employés!V40="Oui",MAX(N(Employés!Q40),1),1))</f>
        <v/>
      </c>
      <c r="U40" s="83">
        <f>IF($A40="","",ROUND((IF(T40&lt;=IRPP_P1,T40*IRPP_T1,IF(T40&lt;=IRPP_P2,IRPP_P1*IRPP_T1+(T40-IRPP_P1)*IRPP_T2,IF(T40&lt;=IRPP_P3,IRPP_P1*IRPP_T1+(IRPP_P2-IRPP_P1)*IRPP_T2+(T40-IRPP_P2)*IRPP_T3,IRPP_P1*IRPP_T1+(IRPP_P2-IRPP_P1)*IRPP_T2+(IRPP_P3-IRPP_P2)*IRPP_T3+(T40-IRPP_P3)*IRPP_T4))))*(1+TX_CAC)/12,0))</f>
        <v/>
      </c>
      <c r="V40" s="83">
        <f>IF($A40="","",SUMIFS('Retenues internes'!$D$41:$D$1040,'Retenues internes'!$A$41:$A$1040,PERIODE_DATE,'Retenues internes'!$B$41:$B$1040,$A40))</f>
        <v/>
      </c>
      <c r="W40" s="83">
        <f>IF($A40="","",SUMIFS('Retenues internes'!$E$41:$E$1040,'Retenues internes'!$A$41:$A$1040,PERIODE_DATE,'Retenues internes'!$B$41:$B$1040,$A40))</f>
        <v/>
      </c>
      <c r="X40" s="83">
        <f>IF($A40="","",SUMIFS('Retenues internes'!$G$41:$G$1040,'Retenues internes'!$A$41:$A$1040,PERIODE_DATE,'Retenues internes'!$B$41:$B$1040,$A40))</f>
        <v/>
      </c>
      <c r="Y40" s="83">
        <f>IF($A40="","",SUMIFS('Retenues internes'!$H$41:$H$1040,'Retenues internes'!$A$41:$A$1040,PERIODE_DATE,'Retenues internes'!$B$41:$B$1040,$A40))</f>
        <v/>
      </c>
      <c r="Z40" s="83">
        <f>IF($A40="","",V40+W40+X40+Y40)</f>
        <v/>
      </c>
      <c r="AA40" s="83">
        <f>IF($A40="","",K40+O40+R40+S40+U40)</f>
        <v/>
      </c>
      <c r="AB40" s="82">
        <f>IF($A40="","",L40+M40+N40+P40+Q40)</f>
        <v/>
      </c>
      <c r="AC40" s="83">
        <f>IF($A40="","",H40-AA40-Z40)</f>
        <v/>
      </c>
      <c r="AD40" s="83">
        <f>IF($A40="","",H40+AB40)</f>
        <v/>
      </c>
    </row>
    <row r="41" ht="15" customHeight="1" s="71">
      <c r="A41" s="82">
        <f>IF(OR(Employés!A41="",Employés!N41&lt;&gt;"Actif"),"",Employés!A41)</f>
        <v/>
      </c>
      <c r="B41" s="82">
        <f>IF($A41="","",Employés!B41)</f>
        <v/>
      </c>
      <c r="C41" s="82">
        <f>IF($A41="","",Employés!C41)</f>
        <v/>
      </c>
      <c r="D41" s="83">
        <f>IF($A41="","",N(Employés!K41))</f>
        <v/>
      </c>
      <c r="E41" s="83">
        <f>IF($A41="","",N(Employés!L41))</f>
        <v/>
      </c>
      <c r="F41" s="83">
        <f>IF($A41="","",IF(Employés!U41&lt;&gt;"Oui",0,IF(N(Employés!R41)&gt;=N(Employés!T41),ROUND(D41*IF(N(Employés!S41)&gt;0,Employés!S41,TX_ANC_DEF),0),0)))</f>
        <v/>
      </c>
      <c r="G41" s="83">
        <f>IF($A41="","",SUMIFS('Retenues internes'!$F$41:$F$1040,'Retenues internes'!$A$41:$A$1040,PERIODE_DATE,'Retenues internes'!$B$41:$B$1040,$A41))</f>
        <v/>
      </c>
      <c r="H41" s="83">
        <f>IF($A41="","",MAX(D41+E41+F41-G41,0))</f>
        <v/>
      </c>
      <c r="I41" s="83">
        <f>IF($A41="","",MAX(N(Employés!M41)+F41-G41,0))</f>
        <v/>
      </c>
      <c r="J41" s="83">
        <f>IF($A41="","",MIN(ROUND(I41*COEF_ASSIETTE,0),PLAFOND_CNPS))</f>
        <v/>
      </c>
      <c r="K41" s="83">
        <f>IF($A41="","",ROUND(J41*TX_VID_SAL,0))</f>
        <v/>
      </c>
      <c r="L41" s="83">
        <f>IF($A41="","",ROUND(J41*TX_VID_PAT,0))</f>
        <v/>
      </c>
      <c r="M41" s="83">
        <f>IF($A41="","",ROUND(J41*TX_PF,0))</f>
        <v/>
      </c>
      <c r="N41" s="83">
        <f>IF($A41="","",ROUND(J41*TX_AT,0))</f>
        <v/>
      </c>
      <c r="O41" s="83">
        <f>IF($A41="","",ROUND(I41*TX_CFC_SAL,0))</f>
        <v/>
      </c>
      <c r="P41" s="83">
        <f>IF($A41="","",ROUND(I41*TX_CFC_PAT,0))</f>
        <v/>
      </c>
      <c r="Q41" s="83">
        <f>IF($A41="","",ROUND(I41*TX_FNE,0))</f>
        <v/>
      </c>
      <c r="R41" s="83">
        <f>IF($A41="","",IF(H41&lt;=TC_S1,TC_V1,IF(H41&lt;=TC_S2,TC_V2,TC_V3)))</f>
        <v/>
      </c>
      <c r="S41" s="83">
        <f>IF($A41="","",IF(H41&lt;=TC_S1,RAV_V1,IF(H41&lt;=TC_S2,RAV_V2,RAV_V3)))</f>
        <v/>
      </c>
      <c r="T41" s="83">
        <f>IF($A41="","",MAX(I41*12*(1-ABAT_PCT)-ABAT_FIXE,0)/IF(Employés!V41="Oui",MAX(N(Employés!Q41),1),1))</f>
        <v/>
      </c>
      <c r="U41" s="83">
        <f>IF($A41="","",ROUND((IF(T41&lt;=IRPP_P1,T41*IRPP_T1,IF(T41&lt;=IRPP_P2,IRPP_P1*IRPP_T1+(T41-IRPP_P1)*IRPP_T2,IF(T41&lt;=IRPP_P3,IRPP_P1*IRPP_T1+(IRPP_P2-IRPP_P1)*IRPP_T2+(T41-IRPP_P2)*IRPP_T3,IRPP_P1*IRPP_T1+(IRPP_P2-IRPP_P1)*IRPP_T2+(IRPP_P3-IRPP_P2)*IRPP_T3+(T41-IRPP_P3)*IRPP_T4))))*(1+TX_CAC)/12,0))</f>
        <v/>
      </c>
      <c r="V41" s="83">
        <f>IF($A41="","",SUMIFS('Retenues internes'!$D$41:$D$1040,'Retenues internes'!$A$41:$A$1040,PERIODE_DATE,'Retenues internes'!$B$41:$B$1040,$A41))</f>
        <v/>
      </c>
      <c r="W41" s="83">
        <f>IF($A41="","",SUMIFS('Retenues internes'!$E$41:$E$1040,'Retenues internes'!$A$41:$A$1040,PERIODE_DATE,'Retenues internes'!$B$41:$B$1040,$A41))</f>
        <v/>
      </c>
      <c r="X41" s="83">
        <f>IF($A41="","",SUMIFS('Retenues internes'!$G$41:$G$1040,'Retenues internes'!$A$41:$A$1040,PERIODE_DATE,'Retenues internes'!$B$41:$B$1040,$A41))</f>
        <v/>
      </c>
      <c r="Y41" s="83">
        <f>IF($A41="","",SUMIFS('Retenues internes'!$H$41:$H$1040,'Retenues internes'!$A$41:$A$1040,PERIODE_DATE,'Retenues internes'!$B$41:$B$1040,$A41))</f>
        <v/>
      </c>
      <c r="Z41" s="83">
        <f>IF($A41="","",V41+W41+X41+Y41)</f>
        <v/>
      </c>
      <c r="AA41" s="83">
        <f>IF($A41="","",K41+O41+R41+S41+U41)</f>
        <v/>
      </c>
      <c r="AB41" s="82">
        <f>IF($A41="","",L41+M41+N41+P41+Q41)</f>
        <v/>
      </c>
      <c r="AC41" s="83">
        <f>IF($A41="","",H41-AA41-Z41)</f>
        <v/>
      </c>
      <c r="AD41" s="83">
        <f>IF($A41="","",H41+AB41)</f>
        <v/>
      </c>
    </row>
    <row r="42" ht="15" customHeight="1" s="71">
      <c r="A42" s="82">
        <f>IF(OR(Employés!A42="",Employés!N42&lt;&gt;"Actif"),"",Employés!A42)</f>
        <v/>
      </c>
      <c r="B42" s="82">
        <f>IF($A42="","",Employés!B42)</f>
        <v/>
      </c>
      <c r="C42" s="82">
        <f>IF($A42="","",Employés!C42)</f>
        <v/>
      </c>
      <c r="D42" s="83">
        <f>IF($A42="","",N(Employés!K42))</f>
        <v/>
      </c>
      <c r="E42" s="83">
        <f>IF($A42="","",N(Employés!L42))</f>
        <v/>
      </c>
      <c r="F42" s="83">
        <f>IF($A42="","",IF(Employés!U42&lt;&gt;"Oui",0,IF(N(Employés!R42)&gt;=N(Employés!T42),ROUND(D42*IF(N(Employés!S42)&gt;0,Employés!S42,TX_ANC_DEF),0),0)))</f>
        <v/>
      </c>
      <c r="G42" s="83">
        <f>IF($A42="","",SUMIFS('Retenues internes'!$F$41:$F$1040,'Retenues internes'!$A$41:$A$1040,PERIODE_DATE,'Retenues internes'!$B$41:$B$1040,$A42))</f>
        <v/>
      </c>
      <c r="H42" s="83">
        <f>IF($A42="","",MAX(D42+E42+F42-G42,0))</f>
        <v/>
      </c>
      <c r="I42" s="83">
        <f>IF($A42="","",MAX(N(Employés!M42)+F42-G42,0))</f>
        <v/>
      </c>
      <c r="J42" s="83">
        <f>IF($A42="","",MIN(ROUND(I42*COEF_ASSIETTE,0),PLAFOND_CNPS))</f>
        <v/>
      </c>
      <c r="K42" s="83">
        <f>IF($A42="","",ROUND(J42*TX_VID_SAL,0))</f>
        <v/>
      </c>
      <c r="L42" s="83">
        <f>IF($A42="","",ROUND(J42*TX_VID_PAT,0))</f>
        <v/>
      </c>
      <c r="M42" s="83">
        <f>IF($A42="","",ROUND(J42*TX_PF,0))</f>
        <v/>
      </c>
      <c r="N42" s="83">
        <f>IF($A42="","",ROUND(J42*TX_AT,0))</f>
        <v/>
      </c>
      <c r="O42" s="83">
        <f>IF($A42="","",ROUND(I42*TX_CFC_SAL,0))</f>
        <v/>
      </c>
      <c r="P42" s="83">
        <f>IF($A42="","",ROUND(I42*TX_CFC_PAT,0))</f>
        <v/>
      </c>
      <c r="Q42" s="83">
        <f>IF($A42="","",ROUND(I42*TX_FNE,0))</f>
        <v/>
      </c>
      <c r="R42" s="83">
        <f>IF($A42="","",IF(H42&lt;=TC_S1,TC_V1,IF(H42&lt;=TC_S2,TC_V2,TC_V3)))</f>
        <v/>
      </c>
      <c r="S42" s="83">
        <f>IF($A42="","",IF(H42&lt;=TC_S1,RAV_V1,IF(H42&lt;=TC_S2,RAV_V2,RAV_V3)))</f>
        <v/>
      </c>
      <c r="T42" s="83">
        <f>IF($A42="","",MAX(I42*12*(1-ABAT_PCT)-ABAT_FIXE,0)/IF(Employés!V42="Oui",MAX(N(Employés!Q42),1),1))</f>
        <v/>
      </c>
      <c r="U42" s="83">
        <f>IF($A42="","",ROUND((IF(T42&lt;=IRPP_P1,T42*IRPP_T1,IF(T42&lt;=IRPP_P2,IRPP_P1*IRPP_T1+(T42-IRPP_P1)*IRPP_T2,IF(T42&lt;=IRPP_P3,IRPP_P1*IRPP_T1+(IRPP_P2-IRPP_P1)*IRPP_T2+(T42-IRPP_P2)*IRPP_T3,IRPP_P1*IRPP_T1+(IRPP_P2-IRPP_P1)*IRPP_T2+(IRPP_P3-IRPP_P2)*IRPP_T3+(T42-IRPP_P3)*IRPP_T4))))*(1+TX_CAC)/12,0))</f>
        <v/>
      </c>
      <c r="V42" s="83">
        <f>IF($A42="","",SUMIFS('Retenues internes'!$D$41:$D$1040,'Retenues internes'!$A$41:$A$1040,PERIODE_DATE,'Retenues internes'!$B$41:$B$1040,$A42))</f>
        <v/>
      </c>
      <c r="W42" s="83">
        <f>IF($A42="","",SUMIFS('Retenues internes'!$E$41:$E$1040,'Retenues internes'!$A$41:$A$1040,PERIODE_DATE,'Retenues internes'!$B$41:$B$1040,$A42))</f>
        <v/>
      </c>
      <c r="X42" s="83">
        <f>IF($A42="","",SUMIFS('Retenues internes'!$G$41:$G$1040,'Retenues internes'!$A$41:$A$1040,PERIODE_DATE,'Retenues internes'!$B$41:$B$1040,$A42))</f>
        <v/>
      </c>
      <c r="Y42" s="83">
        <f>IF($A42="","",SUMIFS('Retenues internes'!$H$41:$H$1040,'Retenues internes'!$A$41:$A$1040,PERIODE_DATE,'Retenues internes'!$B$41:$B$1040,$A42))</f>
        <v/>
      </c>
      <c r="Z42" s="83">
        <f>IF($A42="","",V42+W42+X42+Y42)</f>
        <v/>
      </c>
      <c r="AA42" s="83">
        <f>IF($A42="","",K42+O42+R42+S42+U42)</f>
        <v/>
      </c>
      <c r="AB42" s="82">
        <f>IF($A42="","",L42+M42+N42+P42+Q42)</f>
        <v/>
      </c>
      <c r="AC42" s="83">
        <f>IF($A42="","",H42-AA42-Z42)</f>
        <v/>
      </c>
      <c r="AD42" s="83">
        <f>IF($A42="","",H42+AB42)</f>
        <v/>
      </c>
    </row>
    <row r="43" ht="15" customHeight="1" s="71">
      <c r="A43" s="82">
        <f>IF(OR(Employés!A43="",Employés!N43&lt;&gt;"Actif"),"",Employés!A43)</f>
        <v/>
      </c>
      <c r="B43" s="82">
        <f>IF($A43="","",Employés!B43)</f>
        <v/>
      </c>
      <c r="C43" s="82">
        <f>IF($A43="","",Employés!C43)</f>
        <v/>
      </c>
      <c r="D43" s="83">
        <f>IF($A43="","",N(Employés!K43))</f>
        <v/>
      </c>
      <c r="E43" s="83">
        <f>IF($A43="","",N(Employés!L43))</f>
        <v/>
      </c>
      <c r="F43" s="83">
        <f>IF($A43="","",IF(Employés!U43&lt;&gt;"Oui",0,IF(N(Employés!R43)&gt;=N(Employés!T43),ROUND(D43*IF(N(Employés!S43)&gt;0,Employés!S43,TX_ANC_DEF),0),0)))</f>
        <v/>
      </c>
      <c r="G43" s="83">
        <f>IF($A43="","",SUMIFS('Retenues internes'!$F$41:$F$1040,'Retenues internes'!$A$41:$A$1040,PERIODE_DATE,'Retenues internes'!$B$41:$B$1040,$A43))</f>
        <v/>
      </c>
      <c r="H43" s="83">
        <f>IF($A43="","",MAX(D43+E43+F43-G43,0))</f>
        <v/>
      </c>
      <c r="I43" s="83">
        <f>IF($A43="","",MAX(N(Employés!M43)+F43-G43,0))</f>
        <v/>
      </c>
      <c r="J43" s="83">
        <f>IF($A43="","",MIN(ROUND(I43*COEF_ASSIETTE,0),PLAFOND_CNPS))</f>
        <v/>
      </c>
      <c r="K43" s="83">
        <f>IF($A43="","",ROUND(J43*TX_VID_SAL,0))</f>
        <v/>
      </c>
      <c r="L43" s="83">
        <f>IF($A43="","",ROUND(J43*TX_VID_PAT,0))</f>
        <v/>
      </c>
      <c r="M43" s="83">
        <f>IF($A43="","",ROUND(J43*TX_PF,0))</f>
        <v/>
      </c>
      <c r="N43" s="83">
        <f>IF($A43="","",ROUND(J43*TX_AT,0))</f>
        <v/>
      </c>
      <c r="O43" s="83">
        <f>IF($A43="","",ROUND(I43*TX_CFC_SAL,0))</f>
        <v/>
      </c>
      <c r="P43" s="83">
        <f>IF($A43="","",ROUND(I43*TX_CFC_PAT,0))</f>
        <v/>
      </c>
      <c r="Q43" s="83">
        <f>IF($A43="","",ROUND(I43*TX_FNE,0))</f>
        <v/>
      </c>
      <c r="R43" s="83">
        <f>IF($A43="","",IF(H43&lt;=TC_S1,TC_V1,IF(H43&lt;=TC_S2,TC_V2,TC_V3)))</f>
        <v/>
      </c>
      <c r="S43" s="83">
        <f>IF($A43="","",IF(H43&lt;=TC_S1,RAV_V1,IF(H43&lt;=TC_S2,RAV_V2,RAV_V3)))</f>
        <v/>
      </c>
      <c r="T43" s="83">
        <f>IF($A43="","",MAX(I43*12*(1-ABAT_PCT)-ABAT_FIXE,0)/IF(Employés!V43="Oui",MAX(N(Employés!Q43),1),1))</f>
        <v/>
      </c>
      <c r="U43" s="83">
        <f>IF($A43="","",ROUND((IF(T43&lt;=IRPP_P1,T43*IRPP_T1,IF(T43&lt;=IRPP_P2,IRPP_P1*IRPP_T1+(T43-IRPP_P1)*IRPP_T2,IF(T43&lt;=IRPP_P3,IRPP_P1*IRPP_T1+(IRPP_P2-IRPP_P1)*IRPP_T2+(T43-IRPP_P2)*IRPP_T3,IRPP_P1*IRPP_T1+(IRPP_P2-IRPP_P1)*IRPP_T2+(IRPP_P3-IRPP_P2)*IRPP_T3+(T43-IRPP_P3)*IRPP_T4))))*(1+TX_CAC)/12,0))</f>
        <v/>
      </c>
      <c r="V43" s="83">
        <f>IF($A43="","",SUMIFS('Retenues internes'!$D$41:$D$1040,'Retenues internes'!$A$41:$A$1040,PERIODE_DATE,'Retenues internes'!$B$41:$B$1040,$A43))</f>
        <v/>
      </c>
      <c r="W43" s="83">
        <f>IF($A43="","",SUMIFS('Retenues internes'!$E$41:$E$1040,'Retenues internes'!$A$41:$A$1040,PERIODE_DATE,'Retenues internes'!$B$41:$B$1040,$A43))</f>
        <v/>
      </c>
      <c r="X43" s="83">
        <f>IF($A43="","",SUMIFS('Retenues internes'!$G$41:$G$1040,'Retenues internes'!$A$41:$A$1040,PERIODE_DATE,'Retenues internes'!$B$41:$B$1040,$A43))</f>
        <v/>
      </c>
      <c r="Y43" s="83">
        <f>IF($A43="","",SUMIFS('Retenues internes'!$H$41:$H$1040,'Retenues internes'!$A$41:$A$1040,PERIODE_DATE,'Retenues internes'!$B$41:$B$1040,$A43))</f>
        <v/>
      </c>
      <c r="Z43" s="83">
        <f>IF($A43="","",V43+W43+X43+Y43)</f>
        <v/>
      </c>
      <c r="AA43" s="83">
        <f>IF($A43="","",K43+O43+R43+S43+U43)</f>
        <v/>
      </c>
      <c r="AB43" s="82">
        <f>IF($A43="","",L43+M43+N43+P43+Q43)</f>
        <v/>
      </c>
      <c r="AC43" s="83">
        <f>IF($A43="","",H43-AA43-Z43)</f>
        <v/>
      </c>
      <c r="AD43" s="83">
        <f>IF($A43="","",H43+AB43)</f>
        <v/>
      </c>
    </row>
    <row r="44" ht="15" customHeight="1" s="71">
      <c r="A44" s="82">
        <f>IF(OR(Employés!A44="",Employés!N44&lt;&gt;"Actif"),"",Employés!A44)</f>
        <v/>
      </c>
      <c r="B44" s="82">
        <f>IF($A44="","",Employés!B44)</f>
        <v/>
      </c>
      <c r="C44" s="82">
        <f>IF($A44="","",Employés!C44)</f>
        <v/>
      </c>
      <c r="D44" s="83">
        <f>IF($A44="","",N(Employés!K44))</f>
        <v/>
      </c>
      <c r="E44" s="83">
        <f>IF($A44="","",N(Employés!L44))</f>
        <v/>
      </c>
      <c r="F44" s="83">
        <f>IF($A44="","",IF(Employés!U44&lt;&gt;"Oui",0,IF(N(Employés!R44)&gt;=N(Employés!T44),ROUND(D44*IF(N(Employés!S44)&gt;0,Employés!S44,TX_ANC_DEF),0),0)))</f>
        <v/>
      </c>
      <c r="G44" s="83">
        <f>IF($A44="","",SUMIFS('Retenues internes'!$F$41:$F$1040,'Retenues internes'!$A$41:$A$1040,PERIODE_DATE,'Retenues internes'!$B$41:$B$1040,$A44))</f>
        <v/>
      </c>
      <c r="H44" s="83">
        <f>IF($A44="","",MAX(D44+E44+F44-G44,0))</f>
        <v/>
      </c>
      <c r="I44" s="83">
        <f>IF($A44="","",MAX(N(Employés!M44)+F44-G44,0))</f>
        <v/>
      </c>
      <c r="J44" s="83">
        <f>IF($A44="","",MIN(ROUND(I44*COEF_ASSIETTE,0),PLAFOND_CNPS))</f>
        <v/>
      </c>
      <c r="K44" s="83">
        <f>IF($A44="","",ROUND(J44*TX_VID_SAL,0))</f>
        <v/>
      </c>
      <c r="L44" s="83">
        <f>IF($A44="","",ROUND(J44*TX_VID_PAT,0))</f>
        <v/>
      </c>
      <c r="M44" s="83">
        <f>IF($A44="","",ROUND(J44*TX_PF,0))</f>
        <v/>
      </c>
      <c r="N44" s="83">
        <f>IF($A44="","",ROUND(J44*TX_AT,0))</f>
        <v/>
      </c>
      <c r="O44" s="83">
        <f>IF($A44="","",ROUND(I44*TX_CFC_SAL,0))</f>
        <v/>
      </c>
      <c r="P44" s="83">
        <f>IF($A44="","",ROUND(I44*TX_CFC_PAT,0))</f>
        <v/>
      </c>
      <c r="Q44" s="83">
        <f>IF($A44="","",ROUND(I44*TX_FNE,0))</f>
        <v/>
      </c>
      <c r="R44" s="83">
        <f>IF($A44="","",IF(H44&lt;=TC_S1,TC_V1,IF(H44&lt;=TC_S2,TC_V2,TC_V3)))</f>
        <v/>
      </c>
      <c r="S44" s="83">
        <f>IF($A44="","",IF(H44&lt;=TC_S1,RAV_V1,IF(H44&lt;=TC_S2,RAV_V2,RAV_V3)))</f>
        <v/>
      </c>
      <c r="T44" s="83">
        <f>IF($A44="","",MAX(I44*12*(1-ABAT_PCT)-ABAT_FIXE,0)/IF(Employés!V44="Oui",MAX(N(Employés!Q44),1),1))</f>
        <v/>
      </c>
      <c r="U44" s="83">
        <f>IF($A44="","",ROUND((IF(T44&lt;=IRPP_P1,T44*IRPP_T1,IF(T44&lt;=IRPP_P2,IRPP_P1*IRPP_T1+(T44-IRPP_P1)*IRPP_T2,IF(T44&lt;=IRPP_P3,IRPP_P1*IRPP_T1+(IRPP_P2-IRPP_P1)*IRPP_T2+(T44-IRPP_P2)*IRPP_T3,IRPP_P1*IRPP_T1+(IRPP_P2-IRPP_P1)*IRPP_T2+(IRPP_P3-IRPP_P2)*IRPP_T3+(T44-IRPP_P3)*IRPP_T4))))*(1+TX_CAC)/12,0))</f>
        <v/>
      </c>
      <c r="V44" s="83">
        <f>IF($A44="","",SUMIFS('Retenues internes'!$D$41:$D$1040,'Retenues internes'!$A$41:$A$1040,PERIODE_DATE,'Retenues internes'!$B$41:$B$1040,$A44))</f>
        <v/>
      </c>
      <c r="W44" s="83">
        <f>IF($A44="","",SUMIFS('Retenues internes'!$E$41:$E$1040,'Retenues internes'!$A$41:$A$1040,PERIODE_DATE,'Retenues internes'!$B$41:$B$1040,$A44))</f>
        <v/>
      </c>
      <c r="X44" s="83">
        <f>IF($A44="","",SUMIFS('Retenues internes'!$G$41:$G$1040,'Retenues internes'!$A$41:$A$1040,PERIODE_DATE,'Retenues internes'!$B$41:$B$1040,$A44))</f>
        <v/>
      </c>
      <c r="Y44" s="83">
        <f>IF($A44="","",SUMIFS('Retenues internes'!$H$41:$H$1040,'Retenues internes'!$A$41:$A$1040,PERIODE_DATE,'Retenues internes'!$B$41:$B$1040,$A44))</f>
        <v/>
      </c>
      <c r="Z44" s="83">
        <f>IF($A44="","",V44+W44+X44+Y44)</f>
        <v/>
      </c>
      <c r="AA44" s="83">
        <f>IF($A44="","",K44+O44+R44+S44+U44)</f>
        <v/>
      </c>
      <c r="AB44" s="82">
        <f>IF($A44="","",L44+M44+N44+P44+Q44)</f>
        <v/>
      </c>
      <c r="AC44" s="83">
        <f>IF($A44="","",H44-AA44-Z44)</f>
        <v/>
      </c>
      <c r="AD44" s="83">
        <f>IF($A44="","",H44+AB44)</f>
        <v/>
      </c>
    </row>
    <row r="45" ht="15" customHeight="1" s="71">
      <c r="A45" s="82">
        <f>IF(OR(Employés!A45="",Employés!N45&lt;&gt;"Actif"),"",Employés!A45)</f>
        <v/>
      </c>
      <c r="B45" s="82">
        <f>IF($A45="","",Employés!B45)</f>
        <v/>
      </c>
      <c r="C45" s="82">
        <f>IF($A45="","",Employés!C45)</f>
        <v/>
      </c>
      <c r="D45" s="83">
        <f>IF($A45="","",N(Employés!K45))</f>
        <v/>
      </c>
      <c r="E45" s="83">
        <f>IF($A45="","",N(Employés!L45))</f>
        <v/>
      </c>
      <c r="F45" s="83">
        <f>IF($A45="","",IF(Employés!U45&lt;&gt;"Oui",0,IF(N(Employés!R45)&gt;=N(Employés!T45),ROUND(D45*IF(N(Employés!S45)&gt;0,Employés!S45,TX_ANC_DEF),0),0)))</f>
        <v/>
      </c>
      <c r="G45" s="83">
        <f>IF($A45="","",SUMIFS('Retenues internes'!$F$41:$F$1040,'Retenues internes'!$A$41:$A$1040,PERIODE_DATE,'Retenues internes'!$B$41:$B$1040,$A45))</f>
        <v/>
      </c>
      <c r="H45" s="83">
        <f>IF($A45="","",MAX(D45+E45+F45-G45,0))</f>
        <v/>
      </c>
      <c r="I45" s="83">
        <f>IF($A45="","",MAX(N(Employés!M45)+F45-G45,0))</f>
        <v/>
      </c>
      <c r="J45" s="83">
        <f>IF($A45="","",MIN(ROUND(I45*COEF_ASSIETTE,0),PLAFOND_CNPS))</f>
        <v/>
      </c>
      <c r="K45" s="83">
        <f>IF($A45="","",ROUND(J45*TX_VID_SAL,0))</f>
        <v/>
      </c>
      <c r="L45" s="83">
        <f>IF($A45="","",ROUND(J45*TX_VID_PAT,0))</f>
        <v/>
      </c>
      <c r="M45" s="83">
        <f>IF($A45="","",ROUND(J45*TX_PF,0))</f>
        <v/>
      </c>
      <c r="N45" s="83">
        <f>IF($A45="","",ROUND(J45*TX_AT,0))</f>
        <v/>
      </c>
      <c r="O45" s="83">
        <f>IF($A45="","",ROUND(I45*TX_CFC_SAL,0))</f>
        <v/>
      </c>
      <c r="P45" s="83">
        <f>IF($A45="","",ROUND(I45*TX_CFC_PAT,0))</f>
        <v/>
      </c>
      <c r="Q45" s="83">
        <f>IF($A45="","",ROUND(I45*TX_FNE,0))</f>
        <v/>
      </c>
      <c r="R45" s="83">
        <f>IF($A45="","",IF(H45&lt;=TC_S1,TC_V1,IF(H45&lt;=TC_S2,TC_V2,TC_V3)))</f>
        <v/>
      </c>
      <c r="S45" s="83">
        <f>IF($A45="","",IF(H45&lt;=TC_S1,RAV_V1,IF(H45&lt;=TC_S2,RAV_V2,RAV_V3)))</f>
        <v/>
      </c>
      <c r="T45" s="83">
        <f>IF($A45="","",MAX(I45*12*(1-ABAT_PCT)-ABAT_FIXE,0)/IF(Employés!V45="Oui",MAX(N(Employés!Q45),1),1))</f>
        <v/>
      </c>
      <c r="U45" s="83">
        <f>IF($A45="","",ROUND((IF(T45&lt;=IRPP_P1,T45*IRPP_T1,IF(T45&lt;=IRPP_P2,IRPP_P1*IRPP_T1+(T45-IRPP_P1)*IRPP_T2,IF(T45&lt;=IRPP_P3,IRPP_P1*IRPP_T1+(IRPP_P2-IRPP_P1)*IRPP_T2+(T45-IRPP_P2)*IRPP_T3,IRPP_P1*IRPP_T1+(IRPP_P2-IRPP_P1)*IRPP_T2+(IRPP_P3-IRPP_P2)*IRPP_T3+(T45-IRPP_P3)*IRPP_T4))))*(1+TX_CAC)/12,0))</f>
        <v/>
      </c>
      <c r="V45" s="83">
        <f>IF($A45="","",SUMIFS('Retenues internes'!$D$41:$D$1040,'Retenues internes'!$A$41:$A$1040,PERIODE_DATE,'Retenues internes'!$B$41:$B$1040,$A45))</f>
        <v/>
      </c>
      <c r="W45" s="83">
        <f>IF($A45="","",SUMIFS('Retenues internes'!$E$41:$E$1040,'Retenues internes'!$A$41:$A$1040,PERIODE_DATE,'Retenues internes'!$B$41:$B$1040,$A45))</f>
        <v/>
      </c>
      <c r="X45" s="83">
        <f>IF($A45="","",SUMIFS('Retenues internes'!$G$41:$G$1040,'Retenues internes'!$A$41:$A$1040,PERIODE_DATE,'Retenues internes'!$B$41:$B$1040,$A45))</f>
        <v/>
      </c>
      <c r="Y45" s="83">
        <f>IF($A45="","",SUMIFS('Retenues internes'!$H$41:$H$1040,'Retenues internes'!$A$41:$A$1040,PERIODE_DATE,'Retenues internes'!$B$41:$B$1040,$A45))</f>
        <v/>
      </c>
      <c r="Z45" s="83">
        <f>IF($A45="","",V45+W45+X45+Y45)</f>
        <v/>
      </c>
      <c r="AA45" s="83">
        <f>IF($A45="","",K45+O45+R45+S45+U45)</f>
        <v/>
      </c>
      <c r="AB45" s="82">
        <f>IF($A45="","",L45+M45+N45+P45+Q45)</f>
        <v/>
      </c>
      <c r="AC45" s="83">
        <f>IF($A45="","",H45-AA45-Z45)</f>
        <v/>
      </c>
      <c r="AD45" s="83">
        <f>IF($A45="","",H45+AB45)</f>
        <v/>
      </c>
    </row>
    <row r="46" ht="15" customHeight="1" s="71">
      <c r="A46" s="82">
        <f>IF(OR(Employés!A46="",Employés!N46&lt;&gt;"Actif"),"",Employés!A46)</f>
        <v/>
      </c>
      <c r="B46" s="82">
        <f>IF($A46="","",Employés!B46)</f>
        <v/>
      </c>
      <c r="C46" s="82">
        <f>IF($A46="","",Employés!C46)</f>
        <v/>
      </c>
      <c r="D46" s="83">
        <f>IF($A46="","",N(Employés!K46))</f>
        <v/>
      </c>
      <c r="E46" s="83">
        <f>IF($A46="","",N(Employés!L46))</f>
        <v/>
      </c>
      <c r="F46" s="83">
        <f>IF($A46="","",IF(Employés!U46&lt;&gt;"Oui",0,IF(N(Employés!R46)&gt;=N(Employés!T46),ROUND(D46*IF(N(Employés!S46)&gt;0,Employés!S46,TX_ANC_DEF),0),0)))</f>
        <v/>
      </c>
      <c r="G46" s="83">
        <f>IF($A46="","",SUMIFS('Retenues internes'!$F$41:$F$1040,'Retenues internes'!$A$41:$A$1040,PERIODE_DATE,'Retenues internes'!$B$41:$B$1040,$A46))</f>
        <v/>
      </c>
      <c r="H46" s="83">
        <f>IF($A46="","",MAX(D46+E46+F46-G46,0))</f>
        <v/>
      </c>
      <c r="I46" s="83">
        <f>IF($A46="","",MAX(N(Employés!M46)+F46-G46,0))</f>
        <v/>
      </c>
      <c r="J46" s="83">
        <f>IF($A46="","",MIN(ROUND(I46*COEF_ASSIETTE,0),PLAFOND_CNPS))</f>
        <v/>
      </c>
      <c r="K46" s="83">
        <f>IF($A46="","",ROUND(J46*TX_VID_SAL,0))</f>
        <v/>
      </c>
      <c r="L46" s="83">
        <f>IF($A46="","",ROUND(J46*TX_VID_PAT,0))</f>
        <v/>
      </c>
      <c r="M46" s="83">
        <f>IF($A46="","",ROUND(J46*TX_PF,0))</f>
        <v/>
      </c>
      <c r="N46" s="83">
        <f>IF($A46="","",ROUND(J46*TX_AT,0))</f>
        <v/>
      </c>
      <c r="O46" s="83">
        <f>IF($A46="","",ROUND(I46*TX_CFC_SAL,0))</f>
        <v/>
      </c>
      <c r="P46" s="83">
        <f>IF($A46="","",ROUND(I46*TX_CFC_PAT,0))</f>
        <v/>
      </c>
      <c r="Q46" s="83">
        <f>IF($A46="","",ROUND(I46*TX_FNE,0))</f>
        <v/>
      </c>
      <c r="R46" s="83">
        <f>IF($A46="","",IF(H46&lt;=TC_S1,TC_V1,IF(H46&lt;=TC_S2,TC_V2,TC_V3)))</f>
        <v/>
      </c>
      <c r="S46" s="83">
        <f>IF($A46="","",IF(H46&lt;=TC_S1,RAV_V1,IF(H46&lt;=TC_S2,RAV_V2,RAV_V3)))</f>
        <v/>
      </c>
      <c r="T46" s="83">
        <f>IF($A46="","",MAX(I46*12*(1-ABAT_PCT)-ABAT_FIXE,0)/IF(Employés!V46="Oui",MAX(N(Employés!Q46),1),1))</f>
        <v/>
      </c>
      <c r="U46" s="83">
        <f>IF($A46="","",ROUND((IF(T46&lt;=IRPP_P1,T46*IRPP_T1,IF(T46&lt;=IRPP_P2,IRPP_P1*IRPP_T1+(T46-IRPP_P1)*IRPP_T2,IF(T46&lt;=IRPP_P3,IRPP_P1*IRPP_T1+(IRPP_P2-IRPP_P1)*IRPP_T2+(T46-IRPP_P2)*IRPP_T3,IRPP_P1*IRPP_T1+(IRPP_P2-IRPP_P1)*IRPP_T2+(IRPP_P3-IRPP_P2)*IRPP_T3+(T46-IRPP_P3)*IRPP_T4))))*(1+TX_CAC)/12,0))</f>
        <v/>
      </c>
      <c r="V46" s="83">
        <f>IF($A46="","",SUMIFS('Retenues internes'!$D$41:$D$1040,'Retenues internes'!$A$41:$A$1040,PERIODE_DATE,'Retenues internes'!$B$41:$B$1040,$A46))</f>
        <v/>
      </c>
      <c r="W46" s="83">
        <f>IF($A46="","",SUMIFS('Retenues internes'!$E$41:$E$1040,'Retenues internes'!$A$41:$A$1040,PERIODE_DATE,'Retenues internes'!$B$41:$B$1040,$A46))</f>
        <v/>
      </c>
      <c r="X46" s="83">
        <f>IF($A46="","",SUMIFS('Retenues internes'!$G$41:$G$1040,'Retenues internes'!$A$41:$A$1040,PERIODE_DATE,'Retenues internes'!$B$41:$B$1040,$A46))</f>
        <v/>
      </c>
      <c r="Y46" s="83">
        <f>IF($A46="","",SUMIFS('Retenues internes'!$H$41:$H$1040,'Retenues internes'!$A$41:$A$1040,PERIODE_DATE,'Retenues internes'!$B$41:$B$1040,$A46))</f>
        <v/>
      </c>
      <c r="Z46" s="83">
        <f>IF($A46="","",V46+W46+X46+Y46)</f>
        <v/>
      </c>
      <c r="AA46" s="83">
        <f>IF($A46="","",K46+O46+R46+S46+U46)</f>
        <v/>
      </c>
      <c r="AB46" s="82">
        <f>IF($A46="","",L46+M46+N46+P46+Q46)</f>
        <v/>
      </c>
      <c r="AC46" s="83">
        <f>IF($A46="","",H46-AA46-Z46)</f>
        <v/>
      </c>
      <c r="AD46" s="83">
        <f>IF($A46="","",H46+AB46)</f>
        <v/>
      </c>
    </row>
    <row r="47" ht="15" customHeight="1" s="71">
      <c r="A47" s="82">
        <f>IF(OR(Employés!A47="",Employés!N47&lt;&gt;"Actif"),"",Employés!A47)</f>
        <v/>
      </c>
      <c r="B47" s="82">
        <f>IF($A47="","",Employés!B47)</f>
        <v/>
      </c>
      <c r="C47" s="82">
        <f>IF($A47="","",Employés!C47)</f>
        <v/>
      </c>
      <c r="D47" s="83">
        <f>IF($A47="","",N(Employés!K47))</f>
        <v/>
      </c>
      <c r="E47" s="83">
        <f>IF($A47="","",N(Employés!L47))</f>
        <v/>
      </c>
      <c r="F47" s="83">
        <f>IF($A47="","",IF(Employés!U47&lt;&gt;"Oui",0,IF(N(Employés!R47)&gt;=N(Employés!T47),ROUND(D47*IF(N(Employés!S47)&gt;0,Employés!S47,TX_ANC_DEF),0),0)))</f>
        <v/>
      </c>
      <c r="G47" s="83">
        <f>IF($A47="","",SUMIFS('Retenues internes'!$F$41:$F$1040,'Retenues internes'!$A$41:$A$1040,PERIODE_DATE,'Retenues internes'!$B$41:$B$1040,$A47))</f>
        <v/>
      </c>
      <c r="H47" s="83">
        <f>IF($A47="","",MAX(D47+E47+F47-G47,0))</f>
        <v/>
      </c>
      <c r="I47" s="83">
        <f>IF($A47="","",MAX(N(Employés!M47)+F47-G47,0))</f>
        <v/>
      </c>
      <c r="J47" s="83">
        <f>IF($A47="","",MIN(ROUND(I47*COEF_ASSIETTE,0),PLAFOND_CNPS))</f>
        <v/>
      </c>
      <c r="K47" s="83">
        <f>IF($A47="","",ROUND(J47*TX_VID_SAL,0))</f>
        <v/>
      </c>
      <c r="L47" s="83">
        <f>IF($A47="","",ROUND(J47*TX_VID_PAT,0))</f>
        <v/>
      </c>
      <c r="M47" s="83">
        <f>IF($A47="","",ROUND(J47*TX_PF,0))</f>
        <v/>
      </c>
      <c r="N47" s="83">
        <f>IF($A47="","",ROUND(J47*TX_AT,0))</f>
        <v/>
      </c>
      <c r="O47" s="83">
        <f>IF($A47="","",ROUND(I47*TX_CFC_SAL,0))</f>
        <v/>
      </c>
      <c r="P47" s="83">
        <f>IF($A47="","",ROUND(I47*TX_CFC_PAT,0))</f>
        <v/>
      </c>
      <c r="Q47" s="83">
        <f>IF($A47="","",ROUND(I47*TX_FNE,0))</f>
        <v/>
      </c>
      <c r="R47" s="83">
        <f>IF($A47="","",IF(H47&lt;=TC_S1,TC_V1,IF(H47&lt;=TC_S2,TC_V2,TC_V3)))</f>
        <v/>
      </c>
      <c r="S47" s="83">
        <f>IF($A47="","",IF(H47&lt;=TC_S1,RAV_V1,IF(H47&lt;=TC_S2,RAV_V2,RAV_V3)))</f>
        <v/>
      </c>
      <c r="T47" s="83">
        <f>IF($A47="","",MAX(I47*12*(1-ABAT_PCT)-ABAT_FIXE,0)/IF(Employés!V47="Oui",MAX(N(Employés!Q47),1),1))</f>
        <v/>
      </c>
      <c r="U47" s="83">
        <f>IF($A47="","",ROUND((IF(T47&lt;=IRPP_P1,T47*IRPP_T1,IF(T47&lt;=IRPP_P2,IRPP_P1*IRPP_T1+(T47-IRPP_P1)*IRPP_T2,IF(T47&lt;=IRPP_P3,IRPP_P1*IRPP_T1+(IRPP_P2-IRPP_P1)*IRPP_T2+(T47-IRPP_P2)*IRPP_T3,IRPP_P1*IRPP_T1+(IRPP_P2-IRPP_P1)*IRPP_T2+(IRPP_P3-IRPP_P2)*IRPP_T3+(T47-IRPP_P3)*IRPP_T4))))*(1+TX_CAC)/12,0))</f>
        <v/>
      </c>
      <c r="V47" s="83">
        <f>IF($A47="","",SUMIFS('Retenues internes'!$D$41:$D$1040,'Retenues internes'!$A$41:$A$1040,PERIODE_DATE,'Retenues internes'!$B$41:$B$1040,$A47))</f>
        <v/>
      </c>
      <c r="W47" s="83">
        <f>IF($A47="","",SUMIFS('Retenues internes'!$E$41:$E$1040,'Retenues internes'!$A$41:$A$1040,PERIODE_DATE,'Retenues internes'!$B$41:$B$1040,$A47))</f>
        <v/>
      </c>
      <c r="X47" s="83">
        <f>IF($A47="","",SUMIFS('Retenues internes'!$G$41:$G$1040,'Retenues internes'!$A$41:$A$1040,PERIODE_DATE,'Retenues internes'!$B$41:$B$1040,$A47))</f>
        <v/>
      </c>
      <c r="Y47" s="83">
        <f>IF($A47="","",SUMIFS('Retenues internes'!$H$41:$H$1040,'Retenues internes'!$A$41:$A$1040,PERIODE_DATE,'Retenues internes'!$B$41:$B$1040,$A47))</f>
        <v/>
      </c>
      <c r="Z47" s="83">
        <f>IF($A47="","",V47+W47+X47+Y47)</f>
        <v/>
      </c>
      <c r="AA47" s="83">
        <f>IF($A47="","",K47+O47+R47+S47+U47)</f>
        <v/>
      </c>
      <c r="AB47" s="82">
        <f>IF($A47="","",L47+M47+N47+P47+Q47)</f>
        <v/>
      </c>
      <c r="AC47" s="83">
        <f>IF($A47="","",H47-AA47-Z47)</f>
        <v/>
      </c>
      <c r="AD47" s="83">
        <f>IF($A47="","",H47+AB47)</f>
        <v/>
      </c>
    </row>
    <row r="48" ht="15" customHeight="1" s="71">
      <c r="A48" s="82">
        <f>IF(OR(Employés!A48="",Employés!N48&lt;&gt;"Actif"),"",Employés!A48)</f>
        <v/>
      </c>
      <c r="B48" s="82">
        <f>IF($A48="","",Employés!B48)</f>
        <v/>
      </c>
      <c r="C48" s="82">
        <f>IF($A48="","",Employés!C48)</f>
        <v/>
      </c>
      <c r="D48" s="83">
        <f>IF($A48="","",N(Employés!K48))</f>
        <v/>
      </c>
      <c r="E48" s="83">
        <f>IF($A48="","",N(Employés!L48))</f>
        <v/>
      </c>
      <c r="F48" s="83">
        <f>IF($A48="","",IF(Employés!U48&lt;&gt;"Oui",0,IF(N(Employés!R48)&gt;=N(Employés!T48),ROUND(D48*IF(N(Employés!S48)&gt;0,Employés!S48,TX_ANC_DEF),0),0)))</f>
        <v/>
      </c>
      <c r="G48" s="83">
        <f>IF($A48="","",SUMIFS('Retenues internes'!$F$41:$F$1040,'Retenues internes'!$A$41:$A$1040,PERIODE_DATE,'Retenues internes'!$B$41:$B$1040,$A48))</f>
        <v/>
      </c>
      <c r="H48" s="83">
        <f>IF($A48="","",MAX(D48+E48+F48-G48,0))</f>
        <v/>
      </c>
      <c r="I48" s="83">
        <f>IF($A48="","",MAX(N(Employés!M48)+F48-G48,0))</f>
        <v/>
      </c>
      <c r="J48" s="83">
        <f>IF($A48="","",MIN(ROUND(I48*COEF_ASSIETTE,0),PLAFOND_CNPS))</f>
        <v/>
      </c>
      <c r="K48" s="83">
        <f>IF($A48="","",ROUND(J48*TX_VID_SAL,0))</f>
        <v/>
      </c>
      <c r="L48" s="83">
        <f>IF($A48="","",ROUND(J48*TX_VID_PAT,0))</f>
        <v/>
      </c>
      <c r="M48" s="83">
        <f>IF($A48="","",ROUND(J48*TX_PF,0))</f>
        <v/>
      </c>
      <c r="N48" s="83">
        <f>IF($A48="","",ROUND(J48*TX_AT,0))</f>
        <v/>
      </c>
      <c r="O48" s="83">
        <f>IF($A48="","",ROUND(I48*TX_CFC_SAL,0))</f>
        <v/>
      </c>
      <c r="P48" s="83">
        <f>IF($A48="","",ROUND(I48*TX_CFC_PAT,0))</f>
        <v/>
      </c>
      <c r="Q48" s="83">
        <f>IF($A48="","",ROUND(I48*TX_FNE,0))</f>
        <v/>
      </c>
      <c r="R48" s="83">
        <f>IF($A48="","",IF(H48&lt;=TC_S1,TC_V1,IF(H48&lt;=TC_S2,TC_V2,TC_V3)))</f>
        <v/>
      </c>
      <c r="S48" s="83">
        <f>IF($A48="","",IF(H48&lt;=TC_S1,RAV_V1,IF(H48&lt;=TC_S2,RAV_V2,RAV_V3)))</f>
        <v/>
      </c>
      <c r="T48" s="83">
        <f>IF($A48="","",MAX(I48*12*(1-ABAT_PCT)-ABAT_FIXE,0)/IF(Employés!V48="Oui",MAX(N(Employés!Q48),1),1))</f>
        <v/>
      </c>
      <c r="U48" s="83">
        <f>IF($A48="","",ROUND((IF(T48&lt;=IRPP_P1,T48*IRPP_T1,IF(T48&lt;=IRPP_P2,IRPP_P1*IRPP_T1+(T48-IRPP_P1)*IRPP_T2,IF(T48&lt;=IRPP_P3,IRPP_P1*IRPP_T1+(IRPP_P2-IRPP_P1)*IRPP_T2+(T48-IRPP_P2)*IRPP_T3,IRPP_P1*IRPP_T1+(IRPP_P2-IRPP_P1)*IRPP_T2+(IRPP_P3-IRPP_P2)*IRPP_T3+(T48-IRPP_P3)*IRPP_T4))))*(1+TX_CAC)/12,0))</f>
        <v/>
      </c>
      <c r="V48" s="83">
        <f>IF($A48="","",SUMIFS('Retenues internes'!$D$41:$D$1040,'Retenues internes'!$A$41:$A$1040,PERIODE_DATE,'Retenues internes'!$B$41:$B$1040,$A48))</f>
        <v/>
      </c>
      <c r="W48" s="83">
        <f>IF($A48="","",SUMIFS('Retenues internes'!$E$41:$E$1040,'Retenues internes'!$A$41:$A$1040,PERIODE_DATE,'Retenues internes'!$B$41:$B$1040,$A48))</f>
        <v/>
      </c>
      <c r="X48" s="83">
        <f>IF($A48="","",SUMIFS('Retenues internes'!$G$41:$G$1040,'Retenues internes'!$A$41:$A$1040,PERIODE_DATE,'Retenues internes'!$B$41:$B$1040,$A48))</f>
        <v/>
      </c>
      <c r="Y48" s="83">
        <f>IF($A48="","",SUMIFS('Retenues internes'!$H$41:$H$1040,'Retenues internes'!$A$41:$A$1040,PERIODE_DATE,'Retenues internes'!$B$41:$B$1040,$A48))</f>
        <v/>
      </c>
      <c r="Z48" s="83">
        <f>IF($A48="","",V48+W48+X48+Y48)</f>
        <v/>
      </c>
      <c r="AA48" s="83">
        <f>IF($A48="","",K48+O48+R48+S48+U48)</f>
        <v/>
      </c>
      <c r="AB48" s="82">
        <f>IF($A48="","",L48+M48+N48+P48+Q48)</f>
        <v/>
      </c>
      <c r="AC48" s="83">
        <f>IF($A48="","",H48-AA48-Z48)</f>
        <v/>
      </c>
      <c r="AD48" s="83">
        <f>IF($A48="","",H48+AB48)</f>
        <v/>
      </c>
    </row>
    <row r="49" ht="15" customHeight="1" s="71">
      <c r="A49" s="82">
        <f>IF(OR(Employés!A49="",Employés!N49&lt;&gt;"Actif"),"",Employés!A49)</f>
        <v/>
      </c>
      <c r="B49" s="82">
        <f>IF($A49="","",Employés!B49)</f>
        <v/>
      </c>
      <c r="C49" s="82">
        <f>IF($A49="","",Employés!C49)</f>
        <v/>
      </c>
      <c r="D49" s="83">
        <f>IF($A49="","",N(Employés!K49))</f>
        <v/>
      </c>
      <c r="E49" s="83">
        <f>IF($A49="","",N(Employés!L49))</f>
        <v/>
      </c>
      <c r="F49" s="83">
        <f>IF($A49="","",IF(Employés!U49&lt;&gt;"Oui",0,IF(N(Employés!R49)&gt;=N(Employés!T49),ROUND(D49*IF(N(Employés!S49)&gt;0,Employés!S49,TX_ANC_DEF),0),0)))</f>
        <v/>
      </c>
      <c r="G49" s="83">
        <f>IF($A49="","",SUMIFS('Retenues internes'!$F$41:$F$1040,'Retenues internes'!$A$41:$A$1040,PERIODE_DATE,'Retenues internes'!$B$41:$B$1040,$A49))</f>
        <v/>
      </c>
      <c r="H49" s="83">
        <f>IF($A49="","",MAX(D49+E49+F49-G49,0))</f>
        <v/>
      </c>
      <c r="I49" s="83">
        <f>IF($A49="","",MAX(N(Employés!M49)+F49-G49,0))</f>
        <v/>
      </c>
      <c r="J49" s="83">
        <f>IF($A49="","",MIN(ROUND(I49*COEF_ASSIETTE,0),PLAFOND_CNPS))</f>
        <v/>
      </c>
      <c r="K49" s="83">
        <f>IF($A49="","",ROUND(J49*TX_VID_SAL,0))</f>
        <v/>
      </c>
      <c r="L49" s="83">
        <f>IF($A49="","",ROUND(J49*TX_VID_PAT,0))</f>
        <v/>
      </c>
      <c r="M49" s="83">
        <f>IF($A49="","",ROUND(J49*TX_PF,0))</f>
        <v/>
      </c>
      <c r="N49" s="83">
        <f>IF($A49="","",ROUND(J49*TX_AT,0))</f>
        <v/>
      </c>
      <c r="O49" s="83">
        <f>IF($A49="","",ROUND(I49*TX_CFC_SAL,0))</f>
        <v/>
      </c>
      <c r="P49" s="83">
        <f>IF($A49="","",ROUND(I49*TX_CFC_PAT,0))</f>
        <v/>
      </c>
      <c r="Q49" s="83">
        <f>IF($A49="","",ROUND(I49*TX_FNE,0))</f>
        <v/>
      </c>
      <c r="R49" s="83">
        <f>IF($A49="","",IF(H49&lt;=TC_S1,TC_V1,IF(H49&lt;=TC_S2,TC_V2,TC_V3)))</f>
        <v/>
      </c>
      <c r="S49" s="83">
        <f>IF($A49="","",IF(H49&lt;=TC_S1,RAV_V1,IF(H49&lt;=TC_S2,RAV_V2,RAV_V3)))</f>
        <v/>
      </c>
      <c r="T49" s="83">
        <f>IF($A49="","",MAX(I49*12*(1-ABAT_PCT)-ABAT_FIXE,0)/IF(Employés!V49="Oui",MAX(N(Employés!Q49),1),1))</f>
        <v/>
      </c>
      <c r="U49" s="83">
        <f>IF($A49="","",ROUND((IF(T49&lt;=IRPP_P1,T49*IRPP_T1,IF(T49&lt;=IRPP_P2,IRPP_P1*IRPP_T1+(T49-IRPP_P1)*IRPP_T2,IF(T49&lt;=IRPP_P3,IRPP_P1*IRPP_T1+(IRPP_P2-IRPP_P1)*IRPP_T2+(T49-IRPP_P2)*IRPP_T3,IRPP_P1*IRPP_T1+(IRPP_P2-IRPP_P1)*IRPP_T2+(IRPP_P3-IRPP_P2)*IRPP_T3+(T49-IRPP_P3)*IRPP_T4))))*(1+TX_CAC)/12,0))</f>
        <v/>
      </c>
      <c r="V49" s="83">
        <f>IF($A49="","",SUMIFS('Retenues internes'!$D$41:$D$1040,'Retenues internes'!$A$41:$A$1040,PERIODE_DATE,'Retenues internes'!$B$41:$B$1040,$A49))</f>
        <v/>
      </c>
      <c r="W49" s="83">
        <f>IF($A49="","",SUMIFS('Retenues internes'!$E$41:$E$1040,'Retenues internes'!$A$41:$A$1040,PERIODE_DATE,'Retenues internes'!$B$41:$B$1040,$A49))</f>
        <v/>
      </c>
      <c r="X49" s="83">
        <f>IF($A49="","",SUMIFS('Retenues internes'!$G$41:$G$1040,'Retenues internes'!$A$41:$A$1040,PERIODE_DATE,'Retenues internes'!$B$41:$B$1040,$A49))</f>
        <v/>
      </c>
      <c r="Y49" s="83">
        <f>IF($A49="","",SUMIFS('Retenues internes'!$H$41:$H$1040,'Retenues internes'!$A$41:$A$1040,PERIODE_DATE,'Retenues internes'!$B$41:$B$1040,$A49))</f>
        <v/>
      </c>
      <c r="Z49" s="83">
        <f>IF($A49="","",V49+W49+X49+Y49)</f>
        <v/>
      </c>
      <c r="AA49" s="83">
        <f>IF($A49="","",K49+O49+R49+S49+U49)</f>
        <v/>
      </c>
      <c r="AB49" s="82">
        <f>IF($A49="","",L49+M49+N49+P49+Q49)</f>
        <v/>
      </c>
      <c r="AC49" s="83">
        <f>IF($A49="","",H49-AA49-Z49)</f>
        <v/>
      </c>
      <c r="AD49" s="83">
        <f>IF($A49="","",H49+AB49)</f>
        <v/>
      </c>
    </row>
    <row r="50" ht="15" customHeight="1" s="71">
      <c r="A50" s="82">
        <f>IF(OR(Employés!A50="",Employés!N50&lt;&gt;"Actif"),"",Employés!A50)</f>
        <v/>
      </c>
      <c r="B50" s="82">
        <f>IF($A50="","",Employés!B50)</f>
        <v/>
      </c>
      <c r="C50" s="82">
        <f>IF($A50="","",Employés!C50)</f>
        <v/>
      </c>
      <c r="D50" s="83">
        <f>IF($A50="","",N(Employés!K50))</f>
        <v/>
      </c>
      <c r="E50" s="83">
        <f>IF($A50="","",N(Employés!L50))</f>
        <v/>
      </c>
      <c r="F50" s="83">
        <f>IF($A50="","",IF(Employés!U50&lt;&gt;"Oui",0,IF(N(Employés!R50)&gt;=N(Employés!T50),ROUND(D50*IF(N(Employés!S50)&gt;0,Employés!S50,TX_ANC_DEF),0),0)))</f>
        <v/>
      </c>
      <c r="G50" s="83">
        <f>IF($A50="","",SUMIFS('Retenues internes'!$F$41:$F$1040,'Retenues internes'!$A$41:$A$1040,PERIODE_DATE,'Retenues internes'!$B$41:$B$1040,$A50))</f>
        <v/>
      </c>
      <c r="H50" s="83">
        <f>IF($A50="","",MAX(D50+E50+F50-G50,0))</f>
        <v/>
      </c>
      <c r="I50" s="83">
        <f>IF($A50="","",MAX(N(Employés!M50)+F50-G50,0))</f>
        <v/>
      </c>
      <c r="J50" s="83">
        <f>IF($A50="","",MIN(ROUND(I50*COEF_ASSIETTE,0),PLAFOND_CNPS))</f>
        <v/>
      </c>
      <c r="K50" s="83">
        <f>IF($A50="","",ROUND(J50*TX_VID_SAL,0))</f>
        <v/>
      </c>
      <c r="L50" s="83">
        <f>IF($A50="","",ROUND(J50*TX_VID_PAT,0))</f>
        <v/>
      </c>
      <c r="M50" s="83">
        <f>IF($A50="","",ROUND(J50*TX_PF,0))</f>
        <v/>
      </c>
      <c r="N50" s="83">
        <f>IF($A50="","",ROUND(J50*TX_AT,0))</f>
        <v/>
      </c>
      <c r="O50" s="83">
        <f>IF($A50="","",ROUND(I50*TX_CFC_SAL,0))</f>
        <v/>
      </c>
      <c r="P50" s="83">
        <f>IF($A50="","",ROUND(I50*TX_CFC_PAT,0))</f>
        <v/>
      </c>
      <c r="Q50" s="83">
        <f>IF($A50="","",ROUND(I50*TX_FNE,0))</f>
        <v/>
      </c>
      <c r="R50" s="83">
        <f>IF($A50="","",IF(H50&lt;=TC_S1,TC_V1,IF(H50&lt;=TC_S2,TC_V2,TC_V3)))</f>
        <v/>
      </c>
      <c r="S50" s="83">
        <f>IF($A50="","",IF(H50&lt;=TC_S1,RAV_V1,IF(H50&lt;=TC_S2,RAV_V2,RAV_V3)))</f>
        <v/>
      </c>
      <c r="T50" s="83">
        <f>IF($A50="","",MAX(I50*12*(1-ABAT_PCT)-ABAT_FIXE,0)/IF(Employés!V50="Oui",MAX(N(Employés!Q50),1),1))</f>
        <v/>
      </c>
      <c r="U50" s="83">
        <f>IF($A50="","",ROUND((IF(T50&lt;=IRPP_P1,T50*IRPP_T1,IF(T50&lt;=IRPP_P2,IRPP_P1*IRPP_T1+(T50-IRPP_P1)*IRPP_T2,IF(T50&lt;=IRPP_P3,IRPP_P1*IRPP_T1+(IRPP_P2-IRPP_P1)*IRPP_T2+(T50-IRPP_P2)*IRPP_T3,IRPP_P1*IRPP_T1+(IRPP_P2-IRPP_P1)*IRPP_T2+(IRPP_P3-IRPP_P2)*IRPP_T3+(T50-IRPP_P3)*IRPP_T4))))*(1+TX_CAC)/12,0))</f>
        <v/>
      </c>
      <c r="V50" s="83">
        <f>IF($A50="","",SUMIFS('Retenues internes'!$D$41:$D$1040,'Retenues internes'!$A$41:$A$1040,PERIODE_DATE,'Retenues internes'!$B$41:$B$1040,$A50))</f>
        <v/>
      </c>
      <c r="W50" s="83">
        <f>IF($A50="","",SUMIFS('Retenues internes'!$E$41:$E$1040,'Retenues internes'!$A$41:$A$1040,PERIODE_DATE,'Retenues internes'!$B$41:$B$1040,$A50))</f>
        <v/>
      </c>
      <c r="X50" s="83">
        <f>IF($A50="","",SUMIFS('Retenues internes'!$G$41:$G$1040,'Retenues internes'!$A$41:$A$1040,PERIODE_DATE,'Retenues internes'!$B$41:$B$1040,$A50))</f>
        <v/>
      </c>
      <c r="Y50" s="83">
        <f>IF($A50="","",SUMIFS('Retenues internes'!$H$41:$H$1040,'Retenues internes'!$A$41:$A$1040,PERIODE_DATE,'Retenues internes'!$B$41:$B$1040,$A50))</f>
        <v/>
      </c>
      <c r="Z50" s="83">
        <f>IF($A50="","",V50+W50+X50+Y50)</f>
        <v/>
      </c>
      <c r="AA50" s="83">
        <f>IF($A50="","",K50+O50+R50+S50+U50)</f>
        <v/>
      </c>
      <c r="AB50" s="82">
        <f>IF($A50="","",L50+M50+N50+P50+Q50)</f>
        <v/>
      </c>
      <c r="AC50" s="83">
        <f>IF($A50="","",H50-AA50-Z50)</f>
        <v/>
      </c>
      <c r="AD50" s="83">
        <f>IF($A50="","",H50+AB50)</f>
        <v/>
      </c>
    </row>
    <row r="51" ht="15" customHeight="1" s="71">
      <c r="A51" s="82">
        <f>IF(OR(Employés!A51="",Employés!N51&lt;&gt;"Actif"),"",Employés!A51)</f>
        <v/>
      </c>
      <c r="B51" s="82">
        <f>IF($A51="","",Employés!B51)</f>
        <v/>
      </c>
      <c r="C51" s="82">
        <f>IF($A51="","",Employés!C51)</f>
        <v/>
      </c>
      <c r="D51" s="83">
        <f>IF($A51="","",N(Employés!K51))</f>
        <v/>
      </c>
      <c r="E51" s="83">
        <f>IF($A51="","",N(Employés!L51))</f>
        <v/>
      </c>
      <c r="F51" s="83">
        <f>IF($A51="","",IF(Employés!U51&lt;&gt;"Oui",0,IF(N(Employés!R51)&gt;=N(Employés!T51),ROUND(D51*IF(N(Employés!S51)&gt;0,Employés!S51,TX_ANC_DEF),0),0)))</f>
        <v/>
      </c>
      <c r="G51" s="83">
        <f>IF($A51="","",SUMIFS('Retenues internes'!$F$41:$F$1040,'Retenues internes'!$A$41:$A$1040,PERIODE_DATE,'Retenues internes'!$B$41:$B$1040,$A51))</f>
        <v/>
      </c>
      <c r="H51" s="83">
        <f>IF($A51="","",MAX(D51+E51+F51-G51,0))</f>
        <v/>
      </c>
      <c r="I51" s="83">
        <f>IF($A51="","",MAX(N(Employés!M51)+F51-G51,0))</f>
        <v/>
      </c>
      <c r="J51" s="83">
        <f>IF($A51="","",MIN(ROUND(I51*COEF_ASSIETTE,0),PLAFOND_CNPS))</f>
        <v/>
      </c>
      <c r="K51" s="83">
        <f>IF($A51="","",ROUND(J51*TX_VID_SAL,0))</f>
        <v/>
      </c>
      <c r="L51" s="83">
        <f>IF($A51="","",ROUND(J51*TX_VID_PAT,0))</f>
        <v/>
      </c>
      <c r="M51" s="83">
        <f>IF($A51="","",ROUND(J51*TX_PF,0))</f>
        <v/>
      </c>
      <c r="N51" s="83">
        <f>IF($A51="","",ROUND(J51*TX_AT,0))</f>
        <v/>
      </c>
      <c r="O51" s="83">
        <f>IF($A51="","",ROUND(I51*TX_CFC_SAL,0))</f>
        <v/>
      </c>
      <c r="P51" s="83">
        <f>IF($A51="","",ROUND(I51*TX_CFC_PAT,0))</f>
        <v/>
      </c>
      <c r="Q51" s="83">
        <f>IF($A51="","",ROUND(I51*TX_FNE,0))</f>
        <v/>
      </c>
      <c r="R51" s="83">
        <f>IF($A51="","",IF(H51&lt;=TC_S1,TC_V1,IF(H51&lt;=TC_S2,TC_V2,TC_V3)))</f>
        <v/>
      </c>
      <c r="S51" s="83">
        <f>IF($A51="","",IF(H51&lt;=TC_S1,RAV_V1,IF(H51&lt;=TC_S2,RAV_V2,RAV_V3)))</f>
        <v/>
      </c>
      <c r="T51" s="83">
        <f>IF($A51="","",MAX(I51*12*(1-ABAT_PCT)-ABAT_FIXE,0)/IF(Employés!V51="Oui",MAX(N(Employés!Q51),1),1))</f>
        <v/>
      </c>
      <c r="U51" s="83">
        <f>IF($A51="","",ROUND((IF(T51&lt;=IRPP_P1,T51*IRPP_T1,IF(T51&lt;=IRPP_P2,IRPP_P1*IRPP_T1+(T51-IRPP_P1)*IRPP_T2,IF(T51&lt;=IRPP_P3,IRPP_P1*IRPP_T1+(IRPP_P2-IRPP_P1)*IRPP_T2+(T51-IRPP_P2)*IRPP_T3,IRPP_P1*IRPP_T1+(IRPP_P2-IRPP_P1)*IRPP_T2+(IRPP_P3-IRPP_P2)*IRPP_T3+(T51-IRPP_P3)*IRPP_T4))))*(1+TX_CAC)/12,0))</f>
        <v/>
      </c>
      <c r="V51" s="83">
        <f>IF($A51="","",SUMIFS('Retenues internes'!$D$41:$D$1040,'Retenues internes'!$A$41:$A$1040,PERIODE_DATE,'Retenues internes'!$B$41:$B$1040,$A51))</f>
        <v/>
      </c>
      <c r="W51" s="83">
        <f>IF($A51="","",SUMIFS('Retenues internes'!$E$41:$E$1040,'Retenues internes'!$A$41:$A$1040,PERIODE_DATE,'Retenues internes'!$B$41:$B$1040,$A51))</f>
        <v/>
      </c>
      <c r="X51" s="83">
        <f>IF($A51="","",SUMIFS('Retenues internes'!$G$41:$G$1040,'Retenues internes'!$A$41:$A$1040,PERIODE_DATE,'Retenues internes'!$B$41:$B$1040,$A51))</f>
        <v/>
      </c>
      <c r="Y51" s="83">
        <f>IF($A51="","",SUMIFS('Retenues internes'!$H$41:$H$1040,'Retenues internes'!$A$41:$A$1040,PERIODE_DATE,'Retenues internes'!$B$41:$B$1040,$A51))</f>
        <v/>
      </c>
      <c r="Z51" s="83">
        <f>IF($A51="","",V51+W51+X51+Y51)</f>
        <v/>
      </c>
      <c r="AA51" s="83">
        <f>IF($A51="","",K51+O51+R51+S51+U51)</f>
        <v/>
      </c>
      <c r="AB51" s="82">
        <f>IF($A51="","",L51+M51+N51+P51+Q51)</f>
        <v/>
      </c>
      <c r="AC51" s="83">
        <f>IF($A51="","",H51-AA51-Z51)</f>
        <v/>
      </c>
      <c r="AD51" s="83">
        <f>IF($A51="","",H51+AB51)</f>
        <v/>
      </c>
    </row>
    <row r="52" ht="15" customHeight="1" s="71">
      <c r="A52" s="82">
        <f>IF(OR(Employés!A52="",Employés!N52&lt;&gt;"Actif"),"",Employés!A52)</f>
        <v/>
      </c>
      <c r="B52" s="82">
        <f>IF($A52="","",Employés!B52)</f>
        <v/>
      </c>
      <c r="C52" s="82">
        <f>IF($A52="","",Employés!C52)</f>
        <v/>
      </c>
      <c r="D52" s="83">
        <f>IF($A52="","",N(Employés!K52))</f>
        <v/>
      </c>
      <c r="E52" s="83">
        <f>IF($A52="","",N(Employés!L52))</f>
        <v/>
      </c>
      <c r="F52" s="83">
        <f>IF($A52="","",IF(Employés!U52&lt;&gt;"Oui",0,IF(N(Employés!R52)&gt;=N(Employés!T52),ROUND(D52*IF(N(Employés!S52)&gt;0,Employés!S52,TX_ANC_DEF),0),0)))</f>
        <v/>
      </c>
      <c r="G52" s="83">
        <f>IF($A52="","",SUMIFS('Retenues internes'!$F$41:$F$1040,'Retenues internes'!$A$41:$A$1040,PERIODE_DATE,'Retenues internes'!$B$41:$B$1040,$A52))</f>
        <v/>
      </c>
      <c r="H52" s="83">
        <f>IF($A52="","",MAX(D52+E52+F52-G52,0))</f>
        <v/>
      </c>
      <c r="I52" s="83">
        <f>IF($A52="","",MAX(N(Employés!M52)+F52-G52,0))</f>
        <v/>
      </c>
      <c r="J52" s="83">
        <f>IF($A52="","",MIN(ROUND(I52*COEF_ASSIETTE,0),PLAFOND_CNPS))</f>
        <v/>
      </c>
      <c r="K52" s="83">
        <f>IF($A52="","",ROUND(J52*TX_VID_SAL,0))</f>
        <v/>
      </c>
      <c r="L52" s="83">
        <f>IF($A52="","",ROUND(J52*TX_VID_PAT,0))</f>
        <v/>
      </c>
      <c r="M52" s="83">
        <f>IF($A52="","",ROUND(J52*TX_PF,0))</f>
        <v/>
      </c>
      <c r="N52" s="83">
        <f>IF($A52="","",ROUND(J52*TX_AT,0))</f>
        <v/>
      </c>
      <c r="O52" s="83">
        <f>IF($A52="","",ROUND(I52*TX_CFC_SAL,0))</f>
        <v/>
      </c>
      <c r="P52" s="83">
        <f>IF($A52="","",ROUND(I52*TX_CFC_PAT,0))</f>
        <v/>
      </c>
      <c r="Q52" s="83">
        <f>IF($A52="","",ROUND(I52*TX_FNE,0))</f>
        <v/>
      </c>
      <c r="R52" s="83">
        <f>IF($A52="","",IF(H52&lt;=TC_S1,TC_V1,IF(H52&lt;=TC_S2,TC_V2,TC_V3)))</f>
        <v/>
      </c>
      <c r="S52" s="83">
        <f>IF($A52="","",IF(H52&lt;=TC_S1,RAV_V1,IF(H52&lt;=TC_S2,RAV_V2,RAV_V3)))</f>
        <v/>
      </c>
      <c r="T52" s="83">
        <f>IF($A52="","",MAX(I52*12*(1-ABAT_PCT)-ABAT_FIXE,0)/IF(Employés!V52="Oui",MAX(N(Employés!Q52),1),1))</f>
        <v/>
      </c>
      <c r="U52" s="83">
        <f>IF($A52="","",ROUND((IF(T52&lt;=IRPP_P1,T52*IRPP_T1,IF(T52&lt;=IRPP_P2,IRPP_P1*IRPP_T1+(T52-IRPP_P1)*IRPP_T2,IF(T52&lt;=IRPP_P3,IRPP_P1*IRPP_T1+(IRPP_P2-IRPP_P1)*IRPP_T2+(T52-IRPP_P2)*IRPP_T3,IRPP_P1*IRPP_T1+(IRPP_P2-IRPP_P1)*IRPP_T2+(IRPP_P3-IRPP_P2)*IRPP_T3+(T52-IRPP_P3)*IRPP_T4))))*(1+TX_CAC)/12,0))</f>
        <v/>
      </c>
      <c r="V52" s="83">
        <f>IF($A52="","",SUMIFS('Retenues internes'!$D$41:$D$1040,'Retenues internes'!$A$41:$A$1040,PERIODE_DATE,'Retenues internes'!$B$41:$B$1040,$A52))</f>
        <v/>
      </c>
      <c r="W52" s="83">
        <f>IF($A52="","",SUMIFS('Retenues internes'!$E$41:$E$1040,'Retenues internes'!$A$41:$A$1040,PERIODE_DATE,'Retenues internes'!$B$41:$B$1040,$A52))</f>
        <v/>
      </c>
      <c r="X52" s="83">
        <f>IF($A52="","",SUMIFS('Retenues internes'!$G$41:$G$1040,'Retenues internes'!$A$41:$A$1040,PERIODE_DATE,'Retenues internes'!$B$41:$B$1040,$A52))</f>
        <v/>
      </c>
      <c r="Y52" s="83">
        <f>IF($A52="","",SUMIFS('Retenues internes'!$H$41:$H$1040,'Retenues internes'!$A$41:$A$1040,PERIODE_DATE,'Retenues internes'!$B$41:$B$1040,$A52))</f>
        <v/>
      </c>
      <c r="Z52" s="83">
        <f>IF($A52="","",V52+W52+X52+Y52)</f>
        <v/>
      </c>
      <c r="AA52" s="83">
        <f>IF($A52="","",K52+O52+R52+S52+U52)</f>
        <v/>
      </c>
      <c r="AB52" s="82">
        <f>IF($A52="","",L52+M52+N52+P52+Q52)</f>
        <v/>
      </c>
      <c r="AC52" s="83">
        <f>IF($A52="","",H52-AA52-Z52)</f>
        <v/>
      </c>
      <c r="AD52" s="83">
        <f>IF($A52="","",H52+AB52)</f>
        <v/>
      </c>
    </row>
    <row r="53" ht="15" customHeight="1" s="71">
      <c r="A53" s="82">
        <f>IF(OR(Employés!A53="",Employés!N53&lt;&gt;"Actif"),"",Employés!A53)</f>
        <v/>
      </c>
      <c r="B53" s="82">
        <f>IF($A53="","",Employés!B53)</f>
        <v/>
      </c>
      <c r="C53" s="82">
        <f>IF($A53="","",Employés!C53)</f>
        <v/>
      </c>
      <c r="D53" s="83">
        <f>IF($A53="","",N(Employés!K53))</f>
        <v/>
      </c>
      <c r="E53" s="83">
        <f>IF($A53="","",N(Employés!L53))</f>
        <v/>
      </c>
      <c r="F53" s="83">
        <f>IF($A53="","",IF(Employés!U53&lt;&gt;"Oui",0,IF(N(Employés!R53)&gt;=N(Employés!T53),ROUND(D53*IF(N(Employés!S53)&gt;0,Employés!S53,TX_ANC_DEF),0),0)))</f>
        <v/>
      </c>
      <c r="G53" s="83">
        <f>IF($A53="","",SUMIFS('Retenues internes'!$F$41:$F$1040,'Retenues internes'!$A$41:$A$1040,PERIODE_DATE,'Retenues internes'!$B$41:$B$1040,$A53))</f>
        <v/>
      </c>
      <c r="H53" s="83">
        <f>IF($A53="","",MAX(D53+E53+F53-G53,0))</f>
        <v/>
      </c>
      <c r="I53" s="83">
        <f>IF($A53="","",MAX(N(Employés!M53)+F53-G53,0))</f>
        <v/>
      </c>
      <c r="J53" s="83">
        <f>IF($A53="","",MIN(ROUND(I53*COEF_ASSIETTE,0),PLAFOND_CNPS))</f>
        <v/>
      </c>
      <c r="K53" s="83">
        <f>IF($A53="","",ROUND(J53*TX_VID_SAL,0))</f>
        <v/>
      </c>
      <c r="L53" s="83">
        <f>IF($A53="","",ROUND(J53*TX_VID_PAT,0))</f>
        <v/>
      </c>
      <c r="M53" s="83">
        <f>IF($A53="","",ROUND(J53*TX_PF,0))</f>
        <v/>
      </c>
      <c r="N53" s="83">
        <f>IF($A53="","",ROUND(J53*TX_AT,0))</f>
        <v/>
      </c>
      <c r="O53" s="83">
        <f>IF($A53="","",ROUND(I53*TX_CFC_SAL,0))</f>
        <v/>
      </c>
      <c r="P53" s="83">
        <f>IF($A53="","",ROUND(I53*TX_CFC_PAT,0))</f>
        <v/>
      </c>
      <c r="Q53" s="83">
        <f>IF($A53="","",ROUND(I53*TX_FNE,0))</f>
        <v/>
      </c>
      <c r="R53" s="83">
        <f>IF($A53="","",IF(H53&lt;=TC_S1,TC_V1,IF(H53&lt;=TC_S2,TC_V2,TC_V3)))</f>
        <v/>
      </c>
      <c r="S53" s="83">
        <f>IF($A53="","",IF(H53&lt;=TC_S1,RAV_V1,IF(H53&lt;=TC_S2,RAV_V2,RAV_V3)))</f>
        <v/>
      </c>
      <c r="T53" s="83">
        <f>IF($A53="","",MAX(I53*12*(1-ABAT_PCT)-ABAT_FIXE,0)/IF(Employés!V53="Oui",MAX(N(Employés!Q53),1),1))</f>
        <v/>
      </c>
      <c r="U53" s="83">
        <f>IF($A53="","",ROUND((IF(T53&lt;=IRPP_P1,T53*IRPP_T1,IF(T53&lt;=IRPP_P2,IRPP_P1*IRPP_T1+(T53-IRPP_P1)*IRPP_T2,IF(T53&lt;=IRPP_P3,IRPP_P1*IRPP_T1+(IRPP_P2-IRPP_P1)*IRPP_T2+(T53-IRPP_P2)*IRPP_T3,IRPP_P1*IRPP_T1+(IRPP_P2-IRPP_P1)*IRPP_T2+(IRPP_P3-IRPP_P2)*IRPP_T3+(T53-IRPP_P3)*IRPP_T4))))*(1+TX_CAC)/12,0))</f>
        <v/>
      </c>
      <c r="V53" s="83">
        <f>IF($A53="","",SUMIFS('Retenues internes'!$D$41:$D$1040,'Retenues internes'!$A$41:$A$1040,PERIODE_DATE,'Retenues internes'!$B$41:$B$1040,$A53))</f>
        <v/>
      </c>
      <c r="W53" s="83">
        <f>IF($A53="","",SUMIFS('Retenues internes'!$E$41:$E$1040,'Retenues internes'!$A$41:$A$1040,PERIODE_DATE,'Retenues internes'!$B$41:$B$1040,$A53))</f>
        <v/>
      </c>
      <c r="X53" s="83">
        <f>IF($A53="","",SUMIFS('Retenues internes'!$G$41:$G$1040,'Retenues internes'!$A$41:$A$1040,PERIODE_DATE,'Retenues internes'!$B$41:$B$1040,$A53))</f>
        <v/>
      </c>
      <c r="Y53" s="83">
        <f>IF($A53="","",SUMIFS('Retenues internes'!$H$41:$H$1040,'Retenues internes'!$A$41:$A$1040,PERIODE_DATE,'Retenues internes'!$B$41:$B$1040,$A53))</f>
        <v/>
      </c>
      <c r="Z53" s="83">
        <f>IF($A53="","",V53+W53+X53+Y53)</f>
        <v/>
      </c>
      <c r="AA53" s="83">
        <f>IF($A53="","",K53+O53+R53+S53+U53)</f>
        <v/>
      </c>
      <c r="AB53" s="82">
        <f>IF($A53="","",L53+M53+N53+P53+Q53)</f>
        <v/>
      </c>
      <c r="AC53" s="83">
        <f>IF($A53="","",H53-AA53-Z53)</f>
        <v/>
      </c>
      <c r="AD53" s="83">
        <f>IF($A53="","",H53+AB53)</f>
        <v/>
      </c>
    </row>
    <row r="54" ht="15" customHeight="1" s="71">
      <c r="A54" s="82">
        <f>IF(OR(Employés!A54="",Employés!N54&lt;&gt;"Actif"),"",Employés!A54)</f>
        <v/>
      </c>
      <c r="B54" s="82">
        <f>IF($A54="","",Employés!B54)</f>
        <v/>
      </c>
      <c r="C54" s="82">
        <f>IF($A54="","",Employés!C54)</f>
        <v/>
      </c>
      <c r="D54" s="83">
        <f>IF($A54="","",N(Employés!K54))</f>
        <v/>
      </c>
      <c r="E54" s="83">
        <f>IF($A54="","",N(Employés!L54))</f>
        <v/>
      </c>
      <c r="F54" s="83">
        <f>IF($A54="","",IF(Employés!U54&lt;&gt;"Oui",0,IF(N(Employés!R54)&gt;=N(Employés!T54),ROUND(D54*IF(N(Employés!S54)&gt;0,Employés!S54,TX_ANC_DEF),0),0)))</f>
        <v/>
      </c>
      <c r="G54" s="83">
        <f>IF($A54="","",SUMIFS('Retenues internes'!$F$41:$F$1040,'Retenues internes'!$A$41:$A$1040,PERIODE_DATE,'Retenues internes'!$B$41:$B$1040,$A54))</f>
        <v/>
      </c>
      <c r="H54" s="83">
        <f>IF($A54="","",MAX(D54+E54+F54-G54,0))</f>
        <v/>
      </c>
      <c r="I54" s="83">
        <f>IF($A54="","",MAX(N(Employés!M54)+F54-G54,0))</f>
        <v/>
      </c>
      <c r="J54" s="83">
        <f>IF($A54="","",MIN(ROUND(I54*COEF_ASSIETTE,0),PLAFOND_CNPS))</f>
        <v/>
      </c>
      <c r="K54" s="83">
        <f>IF($A54="","",ROUND(J54*TX_VID_SAL,0))</f>
        <v/>
      </c>
      <c r="L54" s="83">
        <f>IF($A54="","",ROUND(J54*TX_VID_PAT,0))</f>
        <v/>
      </c>
      <c r="M54" s="83">
        <f>IF($A54="","",ROUND(J54*TX_PF,0))</f>
        <v/>
      </c>
      <c r="N54" s="83">
        <f>IF($A54="","",ROUND(J54*TX_AT,0))</f>
        <v/>
      </c>
      <c r="O54" s="83">
        <f>IF($A54="","",ROUND(I54*TX_CFC_SAL,0))</f>
        <v/>
      </c>
      <c r="P54" s="83">
        <f>IF($A54="","",ROUND(I54*TX_CFC_PAT,0))</f>
        <v/>
      </c>
      <c r="Q54" s="83">
        <f>IF($A54="","",ROUND(I54*TX_FNE,0))</f>
        <v/>
      </c>
      <c r="R54" s="83">
        <f>IF($A54="","",IF(H54&lt;=TC_S1,TC_V1,IF(H54&lt;=TC_S2,TC_V2,TC_V3)))</f>
        <v/>
      </c>
      <c r="S54" s="83">
        <f>IF($A54="","",IF(H54&lt;=TC_S1,RAV_V1,IF(H54&lt;=TC_S2,RAV_V2,RAV_V3)))</f>
        <v/>
      </c>
      <c r="T54" s="83">
        <f>IF($A54="","",MAX(I54*12*(1-ABAT_PCT)-ABAT_FIXE,0)/IF(Employés!V54="Oui",MAX(N(Employés!Q54),1),1))</f>
        <v/>
      </c>
      <c r="U54" s="83">
        <f>IF($A54="","",ROUND((IF(T54&lt;=IRPP_P1,T54*IRPP_T1,IF(T54&lt;=IRPP_P2,IRPP_P1*IRPP_T1+(T54-IRPP_P1)*IRPP_T2,IF(T54&lt;=IRPP_P3,IRPP_P1*IRPP_T1+(IRPP_P2-IRPP_P1)*IRPP_T2+(T54-IRPP_P2)*IRPP_T3,IRPP_P1*IRPP_T1+(IRPP_P2-IRPP_P1)*IRPP_T2+(IRPP_P3-IRPP_P2)*IRPP_T3+(T54-IRPP_P3)*IRPP_T4))))*(1+TX_CAC)/12,0))</f>
        <v/>
      </c>
      <c r="V54" s="83">
        <f>IF($A54="","",SUMIFS('Retenues internes'!$D$41:$D$1040,'Retenues internes'!$A$41:$A$1040,PERIODE_DATE,'Retenues internes'!$B$41:$B$1040,$A54))</f>
        <v/>
      </c>
      <c r="W54" s="83">
        <f>IF($A54="","",SUMIFS('Retenues internes'!$E$41:$E$1040,'Retenues internes'!$A$41:$A$1040,PERIODE_DATE,'Retenues internes'!$B$41:$B$1040,$A54))</f>
        <v/>
      </c>
      <c r="X54" s="83">
        <f>IF($A54="","",SUMIFS('Retenues internes'!$G$41:$G$1040,'Retenues internes'!$A$41:$A$1040,PERIODE_DATE,'Retenues internes'!$B$41:$B$1040,$A54))</f>
        <v/>
      </c>
      <c r="Y54" s="83">
        <f>IF($A54="","",SUMIFS('Retenues internes'!$H$41:$H$1040,'Retenues internes'!$A$41:$A$1040,PERIODE_DATE,'Retenues internes'!$B$41:$B$1040,$A54))</f>
        <v/>
      </c>
      <c r="Z54" s="83">
        <f>IF($A54="","",V54+W54+X54+Y54)</f>
        <v/>
      </c>
      <c r="AA54" s="83">
        <f>IF($A54="","",K54+O54+R54+S54+U54)</f>
        <v/>
      </c>
      <c r="AB54" s="82">
        <f>IF($A54="","",L54+M54+N54+P54+Q54)</f>
        <v/>
      </c>
      <c r="AC54" s="83">
        <f>IF($A54="","",H54-AA54-Z54)</f>
        <v/>
      </c>
      <c r="AD54" s="83">
        <f>IF($A54="","",H54+AB54)</f>
        <v/>
      </c>
    </row>
    <row r="55" ht="15" customHeight="1" s="71">
      <c r="A55" s="82">
        <f>IF(OR(Employés!A55="",Employés!N55&lt;&gt;"Actif"),"",Employés!A55)</f>
        <v/>
      </c>
      <c r="B55" s="82">
        <f>IF($A55="","",Employés!B55)</f>
        <v/>
      </c>
      <c r="C55" s="82">
        <f>IF($A55="","",Employés!C55)</f>
        <v/>
      </c>
      <c r="D55" s="83">
        <f>IF($A55="","",N(Employés!K55))</f>
        <v/>
      </c>
      <c r="E55" s="83">
        <f>IF($A55="","",N(Employés!L55))</f>
        <v/>
      </c>
      <c r="F55" s="83">
        <f>IF($A55="","",IF(Employés!U55&lt;&gt;"Oui",0,IF(N(Employés!R55)&gt;=N(Employés!T55),ROUND(D55*IF(N(Employés!S55)&gt;0,Employés!S55,TX_ANC_DEF),0),0)))</f>
        <v/>
      </c>
      <c r="G55" s="83">
        <f>IF($A55="","",SUMIFS('Retenues internes'!$F$41:$F$1040,'Retenues internes'!$A$41:$A$1040,PERIODE_DATE,'Retenues internes'!$B$41:$B$1040,$A55))</f>
        <v/>
      </c>
      <c r="H55" s="83">
        <f>IF($A55="","",MAX(D55+E55+F55-G55,0))</f>
        <v/>
      </c>
      <c r="I55" s="83">
        <f>IF($A55="","",MAX(N(Employés!M55)+F55-G55,0))</f>
        <v/>
      </c>
      <c r="J55" s="83">
        <f>IF($A55="","",MIN(ROUND(I55*COEF_ASSIETTE,0),PLAFOND_CNPS))</f>
        <v/>
      </c>
      <c r="K55" s="83">
        <f>IF($A55="","",ROUND(J55*TX_VID_SAL,0))</f>
        <v/>
      </c>
      <c r="L55" s="83">
        <f>IF($A55="","",ROUND(J55*TX_VID_PAT,0))</f>
        <v/>
      </c>
      <c r="M55" s="83">
        <f>IF($A55="","",ROUND(J55*TX_PF,0))</f>
        <v/>
      </c>
      <c r="N55" s="83">
        <f>IF($A55="","",ROUND(J55*TX_AT,0))</f>
        <v/>
      </c>
      <c r="O55" s="83">
        <f>IF($A55="","",ROUND(I55*TX_CFC_SAL,0))</f>
        <v/>
      </c>
      <c r="P55" s="83">
        <f>IF($A55="","",ROUND(I55*TX_CFC_PAT,0))</f>
        <v/>
      </c>
      <c r="Q55" s="83">
        <f>IF($A55="","",ROUND(I55*TX_FNE,0))</f>
        <v/>
      </c>
      <c r="R55" s="83">
        <f>IF($A55="","",IF(H55&lt;=TC_S1,TC_V1,IF(H55&lt;=TC_S2,TC_V2,TC_V3)))</f>
        <v/>
      </c>
      <c r="S55" s="83">
        <f>IF($A55="","",IF(H55&lt;=TC_S1,RAV_V1,IF(H55&lt;=TC_S2,RAV_V2,RAV_V3)))</f>
        <v/>
      </c>
      <c r="T55" s="83">
        <f>IF($A55="","",MAX(I55*12*(1-ABAT_PCT)-ABAT_FIXE,0)/IF(Employés!V55="Oui",MAX(N(Employés!Q55),1),1))</f>
        <v/>
      </c>
      <c r="U55" s="83">
        <f>IF($A55="","",ROUND((IF(T55&lt;=IRPP_P1,T55*IRPP_T1,IF(T55&lt;=IRPP_P2,IRPP_P1*IRPP_T1+(T55-IRPP_P1)*IRPP_T2,IF(T55&lt;=IRPP_P3,IRPP_P1*IRPP_T1+(IRPP_P2-IRPP_P1)*IRPP_T2+(T55-IRPP_P2)*IRPP_T3,IRPP_P1*IRPP_T1+(IRPP_P2-IRPP_P1)*IRPP_T2+(IRPP_P3-IRPP_P2)*IRPP_T3+(T55-IRPP_P3)*IRPP_T4))))*(1+TX_CAC)/12,0))</f>
        <v/>
      </c>
      <c r="V55" s="83">
        <f>IF($A55="","",SUMIFS('Retenues internes'!$D$41:$D$1040,'Retenues internes'!$A$41:$A$1040,PERIODE_DATE,'Retenues internes'!$B$41:$B$1040,$A55))</f>
        <v/>
      </c>
      <c r="W55" s="83">
        <f>IF($A55="","",SUMIFS('Retenues internes'!$E$41:$E$1040,'Retenues internes'!$A$41:$A$1040,PERIODE_DATE,'Retenues internes'!$B$41:$B$1040,$A55))</f>
        <v/>
      </c>
      <c r="X55" s="83">
        <f>IF($A55="","",SUMIFS('Retenues internes'!$G$41:$G$1040,'Retenues internes'!$A$41:$A$1040,PERIODE_DATE,'Retenues internes'!$B$41:$B$1040,$A55))</f>
        <v/>
      </c>
      <c r="Y55" s="83">
        <f>IF($A55="","",SUMIFS('Retenues internes'!$H$41:$H$1040,'Retenues internes'!$A$41:$A$1040,PERIODE_DATE,'Retenues internes'!$B$41:$B$1040,$A55))</f>
        <v/>
      </c>
      <c r="Z55" s="83">
        <f>IF($A55="","",V55+W55+X55+Y55)</f>
        <v/>
      </c>
      <c r="AA55" s="83">
        <f>IF($A55="","",K55+O55+R55+S55+U55)</f>
        <v/>
      </c>
      <c r="AB55" s="82">
        <f>IF($A55="","",L55+M55+N55+P55+Q55)</f>
        <v/>
      </c>
      <c r="AC55" s="83">
        <f>IF($A55="","",H55-AA55-Z55)</f>
        <v/>
      </c>
      <c r="AD55" s="83">
        <f>IF($A55="","",H55+AB55)</f>
        <v/>
      </c>
    </row>
    <row r="56" ht="15" customHeight="1" s="71">
      <c r="A56" s="82">
        <f>IF(OR(Employés!A56="",Employés!N56&lt;&gt;"Actif"),"",Employés!A56)</f>
        <v/>
      </c>
      <c r="B56" s="82">
        <f>IF($A56="","",Employés!B56)</f>
        <v/>
      </c>
      <c r="C56" s="82">
        <f>IF($A56="","",Employés!C56)</f>
        <v/>
      </c>
      <c r="D56" s="83">
        <f>IF($A56="","",N(Employés!K56))</f>
        <v/>
      </c>
      <c r="E56" s="83">
        <f>IF($A56="","",N(Employés!L56))</f>
        <v/>
      </c>
      <c r="F56" s="83">
        <f>IF($A56="","",IF(Employés!U56&lt;&gt;"Oui",0,IF(N(Employés!R56)&gt;=N(Employés!T56),ROUND(D56*IF(N(Employés!S56)&gt;0,Employés!S56,TX_ANC_DEF),0),0)))</f>
        <v/>
      </c>
      <c r="G56" s="83">
        <f>IF($A56="","",SUMIFS('Retenues internes'!$F$41:$F$1040,'Retenues internes'!$A$41:$A$1040,PERIODE_DATE,'Retenues internes'!$B$41:$B$1040,$A56))</f>
        <v/>
      </c>
      <c r="H56" s="83">
        <f>IF($A56="","",MAX(D56+E56+F56-G56,0))</f>
        <v/>
      </c>
      <c r="I56" s="83">
        <f>IF($A56="","",MAX(N(Employés!M56)+F56-G56,0))</f>
        <v/>
      </c>
      <c r="J56" s="83">
        <f>IF($A56="","",MIN(ROUND(I56*COEF_ASSIETTE,0),PLAFOND_CNPS))</f>
        <v/>
      </c>
      <c r="K56" s="83">
        <f>IF($A56="","",ROUND(J56*TX_VID_SAL,0))</f>
        <v/>
      </c>
      <c r="L56" s="83">
        <f>IF($A56="","",ROUND(J56*TX_VID_PAT,0))</f>
        <v/>
      </c>
      <c r="M56" s="83">
        <f>IF($A56="","",ROUND(J56*TX_PF,0))</f>
        <v/>
      </c>
      <c r="N56" s="83">
        <f>IF($A56="","",ROUND(J56*TX_AT,0))</f>
        <v/>
      </c>
      <c r="O56" s="83">
        <f>IF($A56="","",ROUND(I56*TX_CFC_SAL,0))</f>
        <v/>
      </c>
      <c r="P56" s="83">
        <f>IF($A56="","",ROUND(I56*TX_CFC_PAT,0))</f>
        <v/>
      </c>
      <c r="Q56" s="83">
        <f>IF($A56="","",ROUND(I56*TX_FNE,0))</f>
        <v/>
      </c>
      <c r="R56" s="83">
        <f>IF($A56="","",IF(H56&lt;=TC_S1,TC_V1,IF(H56&lt;=TC_S2,TC_V2,TC_V3)))</f>
        <v/>
      </c>
      <c r="S56" s="83">
        <f>IF($A56="","",IF(H56&lt;=TC_S1,RAV_V1,IF(H56&lt;=TC_S2,RAV_V2,RAV_V3)))</f>
        <v/>
      </c>
      <c r="T56" s="83">
        <f>IF($A56="","",MAX(I56*12*(1-ABAT_PCT)-ABAT_FIXE,0)/IF(Employés!V56="Oui",MAX(N(Employés!Q56),1),1))</f>
        <v/>
      </c>
      <c r="U56" s="83">
        <f>IF($A56="","",ROUND((IF(T56&lt;=IRPP_P1,T56*IRPP_T1,IF(T56&lt;=IRPP_P2,IRPP_P1*IRPP_T1+(T56-IRPP_P1)*IRPP_T2,IF(T56&lt;=IRPP_P3,IRPP_P1*IRPP_T1+(IRPP_P2-IRPP_P1)*IRPP_T2+(T56-IRPP_P2)*IRPP_T3,IRPP_P1*IRPP_T1+(IRPP_P2-IRPP_P1)*IRPP_T2+(IRPP_P3-IRPP_P2)*IRPP_T3+(T56-IRPP_P3)*IRPP_T4))))*(1+TX_CAC)/12,0))</f>
        <v/>
      </c>
      <c r="V56" s="83">
        <f>IF($A56="","",SUMIFS('Retenues internes'!$D$41:$D$1040,'Retenues internes'!$A$41:$A$1040,PERIODE_DATE,'Retenues internes'!$B$41:$B$1040,$A56))</f>
        <v/>
      </c>
      <c r="W56" s="83">
        <f>IF($A56="","",SUMIFS('Retenues internes'!$E$41:$E$1040,'Retenues internes'!$A$41:$A$1040,PERIODE_DATE,'Retenues internes'!$B$41:$B$1040,$A56))</f>
        <v/>
      </c>
      <c r="X56" s="83">
        <f>IF($A56="","",SUMIFS('Retenues internes'!$G$41:$G$1040,'Retenues internes'!$A$41:$A$1040,PERIODE_DATE,'Retenues internes'!$B$41:$B$1040,$A56))</f>
        <v/>
      </c>
      <c r="Y56" s="83">
        <f>IF($A56="","",SUMIFS('Retenues internes'!$H$41:$H$1040,'Retenues internes'!$A$41:$A$1040,PERIODE_DATE,'Retenues internes'!$B$41:$B$1040,$A56))</f>
        <v/>
      </c>
      <c r="Z56" s="83">
        <f>IF($A56="","",V56+W56+X56+Y56)</f>
        <v/>
      </c>
      <c r="AA56" s="83">
        <f>IF($A56="","",K56+O56+R56+S56+U56)</f>
        <v/>
      </c>
      <c r="AB56" s="82">
        <f>IF($A56="","",L56+M56+N56+P56+Q56)</f>
        <v/>
      </c>
      <c r="AC56" s="83">
        <f>IF($A56="","",H56-AA56-Z56)</f>
        <v/>
      </c>
      <c r="AD56" s="83">
        <f>IF($A56="","",H56+AB56)</f>
        <v/>
      </c>
    </row>
    <row r="57" ht="15" customHeight="1" s="71">
      <c r="A57" s="82">
        <f>IF(OR(Employés!A57="",Employés!N57&lt;&gt;"Actif"),"",Employés!A57)</f>
        <v/>
      </c>
      <c r="B57" s="82">
        <f>IF($A57="","",Employés!B57)</f>
        <v/>
      </c>
      <c r="C57" s="82">
        <f>IF($A57="","",Employés!C57)</f>
        <v/>
      </c>
      <c r="D57" s="83">
        <f>IF($A57="","",N(Employés!K57))</f>
        <v/>
      </c>
      <c r="E57" s="83">
        <f>IF($A57="","",N(Employés!L57))</f>
        <v/>
      </c>
      <c r="F57" s="83">
        <f>IF($A57="","",IF(Employés!U57&lt;&gt;"Oui",0,IF(N(Employés!R57)&gt;=N(Employés!T57),ROUND(D57*IF(N(Employés!S57)&gt;0,Employés!S57,TX_ANC_DEF),0),0)))</f>
        <v/>
      </c>
      <c r="G57" s="83">
        <f>IF($A57="","",SUMIFS('Retenues internes'!$F$41:$F$1040,'Retenues internes'!$A$41:$A$1040,PERIODE_DATE,'Retenues internes'!$B$41:$B$1040,$A57))</f>
        <v/>
      </c>
      <c r="H57" s="83">
        <f>IF($A57="","",MAX(D57+E57+F57-G57,0))</f>
        <v/>
      </c>
      <c r="I57" s="83">
        <f>IF($A57="","",MAX(N(Employés!M57)+F57-G57,0))</f>
        <v/>
      </c>
      <c r="J57" s="83">
        <f>IF($A57="","",MIN(ROUND(I57*COEF_ASSIETTE,0),PLAFOND_CNPS))</f>
        <v/>
      </c>
      <c r="K57" s="83">
        <f>IF($A57="","",ROUND(J57*TX_VID_SAL,0))</f>
        <v/>
      </c>
      <c r="L57" s="83">
        <f>IF($A57="","",ROUND(J57*TX_VID_PAT,0))</f>
        <v/>
      </c>
      <c r="M57" s="83">
        <f>IF($A57="","",ROUND(J57*TX_PF,0))</f>
        <v/>
      </c>
      <c r="N57" s="83">
        <f>IF($A57="","",ROUND(J57*TX_AT,0))</f>
        <v/>
      </c>
      <c r="O57" s="83">
        <f>IF($A57="","",ROUND(I57*TX_CFC_SAL,0))</f>
        <v/>
      </c>
      <c r="P57" s="83">
        <f>IF($A57="","",ROUND(I57*TX_CFC_PAT,0))</f>
        <v/>
      </c>
      <c r="Q57" s="83">
        <f>IF($A57="","",ROUND(I57*TX_FNE,0))</f>
        <v/>
      </c>
      <c r="R57" s="83">
        <f>IF($A57="","",IF(H57&lt;=TC_S1,TC_V1,IF(H57&lt;=TC_S2,TC_V2,TC_V3)))</f>
        <v/>
      </c>
      <c r="S57" s="83">
        <f>IF($A57="","",IF(H57&lt;=TC_S1,RAV_V1,IF(H57&lt;=TC_S2,RAV_V2,RAV_V3)))</f>
        <v/>
      </c>
      <c r="T57" s="83">
        <f>IF($A57="","",MAX(I57*12*(1-ABAT_PCT)-ABAT_FIXE,0)/IF(Employés!V57="Oui",MAX(N(Employés!Q57),1),1))</f>
        <v/>
      </c>
      <c r="U57" s="83">
        <f>IF($A57="","",ROUND((IF(T57&lt;=IRPP_P1,T57*IRPP_T1,IF(T57&lt;=IRPP_P2,IRPP_P1*IRPP_T1+(T57-IRPP_P1)*IRPP_T2,IF(T57&lt;=IRPP_P3,IRPP_P1*IRPP_T1+(IRPP_P2-IRPP_P1)*IRPP_T2+(T57-IRPP_P2)*IRPP_T3,IRPP_P1*IRPP_T1+(IRPP_P2-IRPP_P1)*IRPP_T2+(IRPP_P3-IRPP_P2)*IRPP_T3+(T57-IRPP_P3)*IRPP_T4))))*(1+TX_CAC)/12,0))</f>
        <v/>
      </c>
      <c r="V57" s="83">
        <f>IF($A57="","",SUMIFS('Retenues internes'!$D$41:$D$1040,'Retenues internes'!$A$41:$A$1040,PERIODE_DATE,'Retenues internes'!$B$41:$B$1040,$A57))</f>
        <v/>
      </c>
      <c r="W57" s="83">
        <f>IF($A57="","",SUMIFS('Retenues internes'!$E$41:$E$1040,'Retenues internes'!$A$41:$A$1040,PERIODE_DATE,'Retenues internes'!$B$41:$B$1040,$A57))</f>
        <v/>
      </c>
      <c r="X57" s="83">
        <f>IF($A57="","",SUMIFS('Retenues internes'!$G$41:$G$1040,'Retenues internes'!$A$41:$A$1040,PERIODE_DATE,'Retenues internes'!$B$41:$B$1040,$A57))</f>
        <v/>
      </c>
      <c r="Y57" s="83">
        <f>IF($A57="","",SUMIFS('Retenues internes'!$H$41:$H$1040,'Retenues internes'!$A$41:$A$1040,PERIODE_DATE,'Retenues internes'!$B$41:$B$1040,$A57))</f>
        <v/>
      </c>
      <c r="Z57" s="83">
        <f>IF($A57="","",V57+W57+X57+Y57)</f>
        <v/>
      </c>
      <c r="AA57" s="83">
        <f>IF($A57="","",K57+O57+R57+S57+U57)</f>
        <v/>
      </c>
      <c r="AB57" s="82">
        <f>IF($A57="","",L57+M57+N57+P57+Q57)</f>
        <v/>
      </c>
      <c r="AC57" s="83">
        <f>IF($A57="","",H57-AA57-Z57)</f>
        <v/>
      </c>
      <c r="AD57" s="83">
        <f>IF($A57="","",H57+AB57)</f>
        <v/>
      </c>
    </row>
    <row r="58" ht="15" customHeight="1" s="71">
      <c r="A58" s="82">
        <f>IF(OR(Employés!A58="",Employés!N58&lt;&gt;"Actif"),"",Employés!A58)</f>
        <v/>
      </c>
      <c r="B58" s="82">
        <f>IF($A58="","",Employés!B58)</f>
        <v/>
      </c>
      <c r="C58" s="82">
        <f>IF($A58="","",Employés!C58)</f>
        <v/>
      </c>
      <c r="D58" s="83">
        <f>IF($A58="","",N(Employés!K58))</f>
        <v/>
      </c>
      <c r="E58" s="83">
        <f>IF($A58="","",N(Employés!L58))</f>
        <v/>
      </c>
      <c r="F58" s="83">
        <f>IF($A58="","",IF(Employés!U58&lt;&gt;"Oui",0,IF(N(Employés!R58)&gt;=N(Employés!T58),ROUND(D58*IF(N(Employés!S58)&gt;0,Employés!S58,TX_ANC_DEF),0),0)))</f>
        <v/>
      </c>
      <c r="G58" s="83">
        <f>IF($A58="","",SUMIFS('Retenues internes'!$F$41:$F$1040,'Retenues internes'!$A$41:$A$1040,PERIODE_DATE,'Retenues internes'!$B$41:$B$1040,$A58))</f>
        <v/>
      </c>
      <c r="H58" s="83">
        <f>IF($A58="","",MAX(D58+E58+F58-G58,0))</f>
        <v/>
      </c>
      <c r="I58" s="83">
        <f>IF($A58="","",MAX(N(Employés!M58)+F58-G58,0))</f>
        <v/>
      </c>
      <c r="J58" s="83">
        <f>IF($A58="","",MIN(ROUND(I58*COEF_ASSIETTE,0),PLAFOND_CNPS))</f>
        <v/>
      </c>
      <c r="K58" s="83">
        <f>IF($A58="","",ROUND(J58*TX_VID_SAL,0))</f>
        <v/>
      </c>
      <c r="L58" s="83">
        <f>IF($A58="","",ROUND(J58*TX_VID_PAT,0))</f>
        <v/>
      </c>
      <c r="M58" s="83">
        <f>IF($A58="","",ROUND(J58*TX_PF,0))</f>
        <v/>
      </c>
      <c r="N58" s="83">
        <f>IF($A58="","",ROUND(J58*TX_AT,0))</f>
        <v/>
      </c>
      <c r="O58" s="83">
        <f>IF($A58="","",ROUND(I58*TX_CFC_SAL,0))</f>
        <v/>
      </c>
      <c r="P58" s="83">
        <f>IF($A58="","",ROUND(I58*TX_CFC_PAT,0))</f>
        <v/>
      </c>
      <c r="Q58" s="83">
        <f>IF($A58="","",ROUND(I58*TX_FNE,0))</f>
        <v/>
      </c>
      <c r="R58" s="83">
        <f>IF($A58="","",IF(H58&lt;=TC_S1,TC_V1,IF(H58&lt;=TC_S2,TC_V2,TC_V3)))</f>
        <v/>
      </c>
      <c r="S58" s="83">
        <f>IF($A58="","",IF(H58&lt;=TC_S1,RAV_V1,IF(H58&lt;=TC_S2,RAV_V2,RAV_V3)))</f>
        <v/>
      </c>
      <c r="T58" s="83">
        <f>IF($A58="","",MAX(I58*12*(1-ABAT_PCT)-ABAT_FIXE,0)/IF(Employés!V58="Oui",MAX(N(Employés!Q58),1),1))</f>
        <v/>
      </c>
      <c r="U58" s="83">
        <f>IF($A58="","",ROUND((IF(T58&lt;=IRPP_P1,T58*IRPP_T1,IF(T58&lt;=IRPP_P2,IRPP_P1*IRPP_T1+(T58-IRPP_P1)*IRPP_T2,IF(T58&lt;=IRPP_P3,IRPP_P1*IRPP_T1+(IRPP_P2-IRPP_P1)*IRPP_T2+(T58-IRPP_P2)*IRPP_T3,IRPP_P1*IRPP_T1+(IRPP_P2-IRPP_P1)*IRPP_T2+(IRPP_P3-IRPP_P2)*IRPP_T3+(T58-IRPP_P3)*IRPP_T4))))*(1+TX_CAC)/12,0))</f>
        <v/>
      </c>
      <c r="V58" s="83">
        <f>IF($A58="","",SUMIFS('Retenues internes'!$D$41:$D$1040,'Retenues internes'!$A$41:$A$1040,PERIODE_DATE,'Retenues internes'!$B$41:$B$1040,$A58))</f>
        <v/>
      </c>
      <c r="W58" s="83">
        <f>IF($A58="","",SUMIFS('Retenues internes'!$E$41:$E$1040,'Retenues internes'!$A$41:$A$1040,PERIODE_DATE,'Retenues internes'!$B$41:$B$1040,$A58))</f>
        <v/>
      </c>
      <c r="X58" s="83">
        <f>IF($A58="","",SUMIFS('Retenues internes'!$G$41:$G$1040,'Retenues internes'!$A$41:$A$1040,PERIODE_DATE,'Retenues internes'!$B$41:$B$1040,$A58))</f>
        <v/>
      </c>
      <c r="Y58" s="83">
        <f>IF($A58="","",SUMIFS('Retenues internes'!$H$41:$H$1040,'Retenues internes'!$A$41:$A$1040,PERIODE_DATE,'Retenues internes'!$B$41:$B$1040,$A58))</f>
        <v/>
      </c>
      <c r="Z58" s="83">
        <f>IF($A58="","",V58+W58+X58+Y58)</f>
        <v/>
      </c>
      <c r="AA58" s="83">
        <f>IF($A58="","",K58+O58+R58+S58+U58)</f>
        <v/>
      </c>
      <c r="AB58" s="82">
        <f>IF($A58="","",L58+M58+N58+P58+Q58)</f>
        <v/>
      </c>
      <c r="AC58" s="83">
        <f>IF($A58="","",H58-AA58-Z58)</f>
        <v/>
      </c>
      <c r="AD58" s="83">
        <f>IF($A58="","",H58+AB58)</f>
        <v/>
      </c>
    </row>
    <row r="59" ht="15" customHeight="1" s="71">
      <c r="A59" s="82">
        <f>IF(OR(Employés!A59="",Employés!N59&lt;&gt;"Actif"),"",Employés!A59)</f>
        <v/>
      </c>
      <c r="B59" s="82">
        <f>IF($A59="","",Employés!B59)</f>
        <v/>
      </c>
      <c r="C59" s="82">
        <f>IF($A59="","",Employés!C59)</f>
        <v/>
      </c>
      <c r="D59" s="83">
        <f>IF($A59="","",N(Employés!K59))</f>
        <v/>
      </c>
      <c r="E59" s="83">
        <f>IF($A59="","",N(Employés!L59))</f>
        <v/>
      </c>
      <c r="F59" s="83">
        <f>IF($A59="","",IF(Employés!U59&lt;&gt;"Oui",0,IF(N(Employés!R59)&gt;=N(Employés!T59),ROUND(D59*IF(N(Employés!S59)&gt;0,Employés!S59,TX_ANC_DEF),0),0)))</f>
        <v/>
      </c>
      <c r="G59" s="83">
        <f>IF($A59="","",SUMIFS('Retenues internes'!$F$41:$F$1040,'Retenues internes'!$A$41:$A$1040,PERIODE_DATE,'Retenues internes'!$B$41:$B$1040,$A59))</f>
        <v/>
      </c>
      <c r="H59" s="83">
        <f>IF($A59="","",MAX(D59+E59+F59-G59,0))</f>
        <v/>
      </c>
      <c r="I59" s="83">
        <f>IF($A59="","",MAX(N(Employés!M59)+F59-G59,0))</f>
        <v/>
      </c>
      <c r="J59" s="83">
        <f>IF($A59="","",MIN(ROUND(I59*COEF_ASSIETTE,0),PLAFOND_CNPS))</f>
        <v/>
      </c>
      <c r="K59" s="83">
        <f>IF($A59="","",ROUND(J59*TX_VID_SAL,0))</f>
        <v/>
      </c>
      <c r="L59" s="83">
        <f>IF($A59="","",ROUND(J59*TX_VID_PAT,0))</f>
        <v/>
      </c>
      <c r="M59" s="83">
        <f>IF($A59="","",ROUND(J59*TX_PF,0))</f>
        <v/>
      </c>
      <c r="N59" s="83">
        <f>IF($A59="","",ROUND(J59*TX_AT,0))</f>
        <v/>
      </c>
      <c r="O59" s="83">
        <f>IF($A59="","",ROUND(I59*TX_CFC_SAL,0))</f>
        <v/>
      </c>
      <c r="P59" s="83">
        <f>IF($A59="","",ROUND(I59*TX_CFC_PAT,0))</f>
        <v/>
      </c>
      <c r="Q59" s="83">
        <f>IF($A59="","",ROUND(I59*TX_FNE,0))</f>
        <v/>
      </c>
      <c r="R59" s="83">
        <f>IF($A59="","",IF(H59&lt;=TC_S1,TC_V1,IF(H59&lt;=TC_S2,TC_V2,TC_V3)))</f>
        <v/>
      </c>
      <c r="S59" s="83">
        <f>IF($A59="","",IF(H59&lt;=TC_S1,RAV_V1,IF(H59&lt;=TC_S2,RAV_V2,RAV_V3)))</f>
        <v/>
      </c>
      <c r="T59" s="83">
        <f>IF($A59="","",MAX(I59*12*(1-ABAT_PCT)-ABAT_FIXE,0)/IF(Employés!V59="Oui",MAX(N(Employés!Q59),1),1))</f>
        <v/>
      </c>
      <c r="U59" s="83">
        <f>IF($A59="","",ROUND((IF(T59&lt;=IRPP_P1,T59*IRPP_T1,IF(T59&lt;=IRPP_P2,IRPP_P1*IRPP_T1+(T59-IRPP_P1)*IRPP_T2,IF(T59&lt;=IRPP_P3,IRPP_P1*IRPP_T1+(IRPP_P2-IRPP_P1)*IRPP_T2+(T59-IRPP_P2)*IRPP_T3,IRPP_P1*IRPP_T1+(IRPP_P2-IRPP_P1)*IRPP_T2+(IRPP_P3-IRPP_P2)*IRPP_T3+(T59-IRPP_P3)*IRPP_T4))))*(1+TX_CAC)/12,0))</f>
        <v/>
      </c>
      <c r="V59" s="83">
        <f>IF($A59="","",SUMIFS('Retenues internes'!$D$41:$D$1040,'Retenues internes'!$A$41:$A$1040,PERIODE_DATE,'Retenues internes'!$B$41:$B$1040,$A59))</f>
        <v/>
      </c>
      <c r="W59" s="83">
        <f>IF($A59="","",SUMIFS('Retenues internes'!$E$41:$E$1040,'Retenues internes'!$A$41:$A$1040,PERIODE_DATE,'Retenues internes'!$B$41:$B$1040,$A59))</f>
        <v/>
      </c>
      <c r="X59" s="83">
        <f>IF($A59="","",SUMIFS('Retenues internes'!$G$41:$G$1040,'Retenues internes'!$A$41:$A$1040,PERIODE_DATE,'Retenues internes'!$B$41:$B$1040,$A59))</f>
        <v/>
      </c>
      <c r="Y59" s="83">
        <f>IF($A59="","",SUMIFS('Retenues internes'!$H$41:$H$1040,'Retenues internes'!$A$41:$A$1040,PERIODE_DATE,'Retenues internes'!$B$41:$B$1040,$A59))</f>
        <v/>
      </c>
      <c r="Z59" s="83">
        <f>IF($A59="","",V59+W59+X59+Y59)</f>
        <v/>
      </c>
      <c r="AA59" s="83">
        <f>IF($A59="","",K59+O59+R59+S59+U59)</f>
        <v/>
      </c>
      <c r="AB59" s="82">
        <f>IF($A59="","",L59+M59+N59+P59+Q59)</f>
        <v/>
      </c>
      <c r="AC59" s="83">
        <f>IF($A59="","",H59-AA59-Z59)</f>
        <v/>
      </c>
      <c r="AD59" s="83">
        <f>IF($A59="","",H59+AB59)</f>
        <v/>
      </c>
    </row>
    <row r="60" ht="15" customHeight="1" s="71">
      <c r="A60" s="82">
        <f>IF(OR(Employés!A60="",Employés!N60&lt;&gt;"Actif"),"",Employés!A60)</f>
        <v/>
      </c>
      <c r="B60" s="82">
        <f>IF($A60="","",Employés!B60)</f>
        <v/>
      </c>
      <c r="C60" s="82">
        <f>IF($A60="","",Employés!C60)</f>
        <v/>
      </c>
      <c r="D60" s="83">
        <f>IF($A60="","",N(Employés!K60))</f>
        <v/>
      </c>
      <c r="E60" s="83">
        <f>IF($A60="","",N(Employés!L60))</f>
        <v/>
      </c>
      <c r="F60" s="83">
        <f>IF($A60="","",IF(Employés!U60&lt;&gt;"Oui",0,IF(N(Employés!R60)&gt;=N(Employés!T60),ROUND(D60*IF(N(Employés!S60)&gt;0,Employés!S60,TX_ANC_DEF),0),0)))</f>
        <v/>
      </c>
      <c r="G60" s="83">
        <f>IF($A60="","",SUMIFS('Retenues internes'!$F$41:$F$1040,'Retenues internes'!$A$41:$A$1040,PERIODE_DATE,'Retenues internes'!$B$41:$B$1040,$A60))</f>
        <v/>
      </c>
      <c r="H60" s="83">
        <f>IF($A60="","",MAX(D60+E60+F60-G60,0))</f>
        <v/>
      </c>
      <c r="I60" s="83">
        <f>IF($A60="","",MAX(N(Employés!M60)+F60-G60,0))</f>
        <v/>
      </c>
      <c r="J60" s="83">
        <f>IF($A60="","",MIN(ROUND(I60*COEF_ASSIETTE,0),PLAFOND_CNPS))</f>
        <v/>
      </c>
      <c r="K60" s="83">
        <f>IF($A60="","",ROUND(J60*TX_VID_SAL,0))</f>
        <v/>
      </c>
      <c r="L60" s="83">
        <f>IF($A60="","",ROUND(J60*TX_VID_PAT,0))</f>
        <v/>
      </c>
      <c r="M60" s="83">
        <f>IF($A60="","",ROUND(J60*TX_PF,0))</f>
        <v/>
      </c>
      <c r="N60" s="83">
        <f>IF($A60="","",ROUND(J60*TX_AT,0))</f>
        <v/>
      </c>
      <c r="O60" s="83">
        <f>IF($A60="","",ROUND(I60*TX_CFC_SAL,0))</f>
        <v/>
      </c>
      <c r="P60" s="83">
        <f>IF($A60="","",ROUND(I60*TX_CFC_PAT,0))</f>
        <v/>
      </c>
      <c r="Q60" s="83">
        <f>IF($A60="","",ROUND(I60*TX_FNE,0))</f>
        <v/>
      </c>
      <c r="R60" s="83">
        <f>IF($A60="","",IF(H60&lt;=TC_S1,TC_V1,IF(H60&lt;=TC_S2,TC_V2,TC_V3)))</f>
        <v/>
      </c>
      <c r="S60" s="83">
        <f>IF($A60="","",IF(H60&lt;=TC_S1,RAV_V1,IF(H60&lt;=TC_S2,RAV_V2,RAV_V3)))</f>
        <v/>
      </c>
      <c r="T60" s="83">
        <f>IF($A60="","",MAX(I60*12*(1-ABAT_PCT)-ABAT_FIXE,0)/IF(Employés!V60="Oui",MAX(N(Employés!Q60),1),1))</f>
        <v/>
      </c>
      <c r="U60" s="83">
        <f>IF($A60="","",ROUND((IF(T60&lt;=IRPP_P1,T60*IRPP_T1,IF(T60&lt;=IRPP_P2,IRPP_P1*IRPP_T1+(T60-IRPP_P1)*IRPP_T2,IF(T60&lt;=IRPP_P3,IRPP_P1*IRPP_T1+(IRPP_P2-IRPP_P1)*IRPP_T2+(T60-IRPP_P2)*IRPP_T3,IRPP_P1*IRPP_T1+(IRPP_P2-IRPP_P1)*IRPP_T2+(IRPP_P3-IRPP_P2)*IRPP_T3+(T60-IRPP_P3)*IRPP_T4))))*(1+TX_CAC)/12,0))</f>
        <v/>
      </c>
      <c r="V60" s="83">
        <f>IF($A60="","",SUMIFS('Retenues internes'!$D$41:$D$1040,'Retenues internes'!$A$41:$A$1040,PERIODE_DATE,'Retenues internes'!$B$41:$B$1040,$A60))</f>
        <v/>
      </c>
      <c r="W60" s="83">
        <f>IF($A60="","",SUMIFS('Retenues internes'!$E$41:$E$1040,'Retenues internes'!$A$41:$A$1040,PERIODE_DATE,'Retenues internes'!$B$41:$B$1040,$A60))</f>
        <v/>
      </c>
      <c r="X60" s="83">
        <f>IF($A60="","",SUMIFS('Retenues internes'!$G$41:$G$1040,'Retenues internes'!$A$41:$A$1040,PERIODE_DATE,'Retenues internes'!$B$41:$B$1040,$A60))</f>
        <v/>
      </c>
      <c r="Y60" s="83">
        <f>IF($A60="","",SUMIFS('Retenues internes'!$H$41:$H$1040,'Retenues internes'!$A$41:$A$1040,PERIODE_DATE,'Retenues internes'!$B$41:$B$1040,$A60))</f>
        <v/>
      </c>
      <c r="Z60" s="83">
        <f>IF($A60="","",V60+W60+X60+Y60)</f>
        <v/>
      </c>
      <c r="AA60" s="83">
        <f>IF($A60="","",K60+O60+R60+S60+U60)</f>
        <v/>
      </c>
      <c r="AB60" s="82">
        <f>IF($A60="","",L60+M60+N60+P60+Q60)</f>
        <v/>
      </c>
      <c r="AC60" s="83">
        <f>IF($A60="","",H60-AA60-Z60)</f>
        <v/>
      </c>
      <c r="AD60" s="83">
        <f>IF($A60="","",H60+AB60)</f>
        <v/>
      </c>
    </row>
    <row r="61" ht="15" customHeight="1" s="71">
      <c r="A61" s="82">
        <f>IF(OR(Employés!A61="",Employés!N61&lt;&gt;"Actif"),"",Employés!A61)</f>
        <v/>
      </c>
      <c r="B61" s="82">
        <f>IF($A61="","",Employés!B61)</f>
        <v/>
      </c>
      <c r="C61" s="82">
        <f>IF($A61="","",Employés!C61)</f>
        <v/>
      </c>
      <c r="D61" s="83">
        <f>IF($A61="","",N(Employés!K61))</f>
        <v/>
      </c>
      <c r="E61" s="83">
        <f>IF($A61="","",N(Employés!L61))</f>
        <v/>
      </c>
      <c r="F61" s="83">
        <f>IF($A61="","",IF(Employés!U61&lt;&gt;"Oui",0,IF(N(Employés!R61)&gt;=N(Employés!T61),ROUND(D61*IF(N(Employés!S61)&gt;0,Employés!S61,TX_ANC_DEF),0),0)))</f>
        <v/>
      </c>
      <c r="G61" s="83">
        <f>IF($A61="","",SUMIFS('Retenues internes'!$F$41:$F$1040,'Retenues internes'!$A$41:$A$1040,PERIODE_DATE,'Retenues internes'!$B$41:$B$1040,$A61))</f>
        <v/>
      </c>
      <c r="H61" s="83">
        <f>IF($A61="","",MAX(D61+E61+F61-G61,0))</f>
        <v/>
      </c>
      <c r="I61" s="83">
        <f>IF($A61="","",MAX(N(Employés!M61)+F61-G61,0))</f>
        <v/>
      </c>
      <c r="J61" s="83">
        <f>IF($A61="","",MIN(ROUND(I61*COEF_ASSIETTE,0),PLAFOND_CNPS))</f>
        <v/>
      </c>
      <c r="K61" s="83">
        <f>IF($A61="","",ROUND(J61*TX_VID_SAL,0))</f>
        <v/>
      </c>
      <c r="L61" s="83">
        <f>IF($A61="","",ROUND(J61*TX_VID_PAT,0))</f>
        <v/>
      </c>
      <c r="M61" s="83">
        <f>IF($A61="","",ROUND(J61*TX_PF,0))</f>
        <v/>
      </c>
      <c r="N61" s="83">
        <f>IF($A61="","",ROUND(J61*TX_AT,0))</f>
        <v/>
      </c>
      <c r="O61" s="83">
        <f>IF($A61="","",ROUND(I61*TX_CFC_SAL,0))</f>
        <v/>
      </c>
      <c r="P61" s="83">
        <f>IF($A61="","",ROUND(I61*TX_CFC_PAT,0))</f>
        <v/>
      </c>
      <c r="Q61" s="83">
        <f>IF($A61="","",ROUND(I61*TX_FNE,0))</f>
        <v/>
      </c>
      <c r="R61" s="83">
        <f>IF($A61="","",IF(H61&lt;=TC_S1,TC_V1,IF(H61&lt;=TC_S2,TC_V2,TC_V3)))</f>
        <v/>
      </c>
      <c r="S61" s="83">
        <f>IF($A61="","",IF(H61&lt;=TC_S1,RAV_V1,IF(H61&lt;=TC_S2,RAV_V2,RAV_V3)))</f>
        <v/>
      </c>
      <c r="T61" s="83">
        <f>IF($A61="","",MAX(I61*12*(1-ABAT_PCT)-ABAT_FIXE,0)/IF(Employés!V61="Oui",MAX(N(Employés!Q61),1),1))</f>
        <v/>
      </c>
      <c r="U61" s="83">
        <f>IF($A61="","",ROUND((IF(T61&lt;=IRPP_P1,T61*IRPP_T1,IF(T61&lt;=IRPP_P2,IRPP_P1*IRPP_T1+(T61-IRPP_P1)*IRPP_T2,IF(T61&lt;=IRPP_P3,IRPP_P1*IRPP_T1+(IRPP_P2-IRPP_P1)*IRPP_T2+(T61-IRPP_P2)*IRPP_T3,IRPP_P1*IRPP_T1+(IRPP_P2-IRPP_P1)*IRPP_T2+(IRPP_P3-IRPP_P2)*IRPP_T3+(T61-IRPP_P3)*IRPP_T4))))*(1+TX_CAC)/12,0))</f>
        <v/>
      </c>
      <c r="V61" s="83">
        <f>IF($A61="","",SUMIFS('Retenues internes'!$D$41:$D$1040,'Retenues internes'!$A$41:$A$1040,PERIODE_DATE,'Retenues internes'!$B$41:$B$1040,$A61))</f>
        <v/>
      </c>
      <c r="W61" s="83">
        <f>IF($A61="","",SUMIFS('Retenues internes'!$E$41:$E$1040,'Retenues internes'!$A$41:$A$1040,PERIODE_DATE,'Retenues internes'!$B$41:$B$1040,$A61))</f>
        <v/>
      </c>
      <c r="X61" s="83">
        <f>IF($A61="","",SUMIFS('Retenues internes'!$G$41:$G$1040,'Retenues internes'!$A$41:$A$1040,PERIODE_DATE,'Retenues internes'!$B$41:$B$1040,$A61))</f>
        <v/>
      </c>
      <c r="Y61" s="83">
        <f>IF($A61="","",SUMIFS('Retenues internes'!$H$41:$H$1040,'Retenues internes'!$A$41:$A$1040,PERIODE_DATE,'Retenues internes'!$B$41:$B$1040,$A61))</f>
        <v/>
      </c>
      <c r="Z61" s="83">
        <f>IF($A61="","",V61+W61+X61+Y61)</f>
        <v/>
      </c>
      <c r="AA61" s="83">
        <f>IF($A61="","",K61+O61+R61+S61+U61)</f>
        <v/>
      </c>
      <c r="AB61" s="82">
        <f>IF($A61="","",L61+M61+N61+P61+Q61)</f>
        <v/>
      </c>
      <c r="AC61" s="83">
        <f>IF($A61="","",H61-AA61-Z61)</f>
        <v/>
      </c>
      <c r="AD61" s="83">
        <f>IF($A61="","",H61+AB61)</f>
        <v/>
      </c>
    </row>
    <row r="62" ht="15" customHeight="1" s="71">
      <c r="A62" s="82">
        <f>IF(OR(Employés!A62="",Employés!N62&lt;&gt;"Actif"),"",Employés!A62)</f>
        <v/>
      </c>
      <c r="B62" s="82">
        <f>IF($A62="","",Employés!B62)</f>
        <v/>
      </c>
      <c r="C62" s="82">
        <f>IF($A62="","",Employés!C62)</f>
        <v/>
      </c>
      <c r="D62" s="83">
        <f>IF($A62="","",N(Employés!K62))</f>
        <v/>
      </c>
      <c r="E62" s="83">
        <f>IF($A62="","",N(Employés!L62))</f>
        <v/>
      </c>
      <c r="F62" s="83">
        <f>IF($A62="","",IF(Employés!U62&lt;&gt;"Oui",0,IF(N(Employés!R62)&gt;=N(Employés!T62),ROUND(D62*IF(N(Employés!S62)&gt;0,Employés!S62,TX_ANC_DEF),0),0)))</f>
        <v/>
      </c>
      <c r="G62" s="83">
        <f>IF($A62="","",SUMIFS('Retenues internes'!$F$41:$F$1040,'Retenues internes'!$A$41:$A$1040,PERIODE_DATE,'Retenues internes'!$B$41:$B$1040,$A62))</f>
        <v/>
      </c>
      <c r="H62" s="83">
        <f>IF($A62="","",MAX(D62+E62+F62-G62,0))</f>
        <v/>
      </c>
      <c r="I62" s="83">
        <f>IF($A62="","",MAX(N(Employés!M62)+F62-G62,0))</f>
        <v/>
      </c>
      <c r="J62" s="83">
        <f>IF($A62="","",MIN(ROUND(I62*COEF_ASSIETTE,0),PLAFOND_CNPS))</f>
        <v/>
      </c>
      <c r="K62" s="83">
        <f>IF($A62="","",ROUND(J62*TX_VID_SAL,0))</f>
        <v/>
      </c>
      <c r="L62" s="83">
        <f>IF($A62="","",ROUND(J62*TX_VID_PAT,0))</f>
        <v/>
      </c>
      <c r="M62" s="83">
        <f>IF($A62="","",ROUND(J62*TX_PF,0))</f>
        <v/>
      </c>
      <c r="N62" s="83">
        <f>IF($A62="","",ROUND(J62*TX_AT,0))</f>
        <v/>
      </c>
      <c r="O62" s="83">
        <f>IF($A62="","",ROUND(I62*TX_CFC_SAL,0))</f>
        <v/>
      </c>
      <c r="P62" s="83">
        <f>IF($A62="","",ROUND(I62*TX_CFC_PAT,0))</f>
        <v/>
      </c>
      <c r="Q62" s="83">
        <f>IF($A62="","",ROUND(I62*TX_FNE,0))</f>
        <v/>
      </c>
      <c r="R62" s="83">
        <f>IF($A62="","",IF(H62&lt;=TC_S1,TC_V1,IF(H62&lt;=TC_S2,TC_V2,TC_V3)))</f>
        <v/>
      </c>
      <c r="S62" s="83">
        <f>IF($A62="","",IF(H62&lt;=TC_S1,RAV_V1,IF(H62&lt;=TC_S2,RAV_V2,RAV_V3)))</f>
        <v/>
      </c>
      <c r="T62" s="83">
        <f>IF($A62="","",MAX(I62*12*(1-ABAT_PCT)-ABAT_FIXE,0)/IF(Employés!V62="Oui",MAX(N(Employés!Q62),1),1))</f>
        <v/>
      </c>
      <c r="U62" s="83">
        <f>IF($A62="","",ROUND((IF(T62&lt;=IRPP_P1,T62*IRPP_T1,IF(T62&lt;=IRPP_P2,IRPP_P1*IRPP_T1+(T62-IRPP_P1)*IRPP_T2,IF(T62&lt;=IRPP_P3,IRPP_P1*IRPP_T1+(IRPP_P2-IRPP_P1)*IRPP_T2+(T62-IRPP_P2)*IRPP_T3,IRPP_P1*IRPP_T1+(IRPP_P2-IRPP_P1)*IRPP_T2+(IRPP_P3-IRPP_P2)*IRPP_T3+(T62-IRPP_P3)*IRPP_T4))))*(1+TX_CAC)/12,0))</f>
        <v/>
      </c>
      <c r="V62" s="83">
        <f>IF($A62="","",SUMIFS('Retenues internes'!$D$41:$D$1040,'Retenues internes'!$A$41:$A$1040,PERIODE_DATE,'Retenues internes'!$B$41:$B$1040,$A62))</f>
        <v/>
      </c>
      <c r="W62" s="83">
        <f>IF($A62="","",SUMIFS('Retenues internes'!$E$41:$E$1040,'Retenues internes'!$A$41:$A$1040,PERIODE_DATE,'Retenues internes'!$B$41:$B$1040,$A62))</f>
        <v/>
      </c>
      <c r="X62" s="83">
        <f>IF($A62="","",SUMIFS('Retenues internes'!$G$41:$G$1040,'Retenues internes'!$A$41:$A$1040,PERIODE_DATE,'Retenues internes'!$B$41:$B$1040,$A62))</f>
        <v/>
      </c>
      <c r="Y62" s="83">
        <f>IF($A62="","",SUMIFS('Retenues internes'!$H$41:$H$1040,'Retenues internes'!$A$41:$A$1040,PERIODE_DATE,'Retenues internes'!$B$41:$B$1040,$A62))</f>
        <v/>
      </c>
      <c r="Z62" s="83">
        <f>IF($A62="","",V62+W62+X62+Y62)</f>
        <v/>
      </c>
      <c r="AA62" s="83">
        <f>IF($A62="","",K62+O62+R62+S62+U62)</f>
        <v/>
      </c>
      <c r="AB62" s="82">
        <f>IF($A62="","",L62+M62+N62+P62+Q62)</f>
        <v/>
      </c>
      <c r="AC62" s="83">
        <f>IF($A62="","",H62-AA62-Z62)</f>
        <v/>
      </c>
      <c r="AD62" s="83">
        <f>IF($A62="","",H62+AB62)</f>
        <v/>
      </c>
    </row>
    <row r="63" ht="15" customHeight="1" s="71">
      <c r="A63" s="82">
        <f>IF(OR(Employés!A63="",Employés!N63&lt;&gt;"Actif"),"",Employés!A63)</f>
        <v/>
      </c>
      <c r="B63" s="82">
        <f>IF($A63="","",Employés!B63)</f>
        <v/>
      </c>
      <c r="C63" s="82">
        <f>IF($A63="","",Employés!C63)</f>
        <v/>
      </c>
      <c r="D63" s="83">
        <f>IF($A63="","",N(Employés!K63))</f>
        <v/>
      </c>
      <c r="E63" s="83">
        <f>IF($A63="","",N(Employés!L63))</f>
        <v/>
      </c>
      <c r="F63" s="83">
        <f>IF($A63="","",IF(Employés!U63&lt;&gt;"Oui",0,IF(N(Employés!R63)&gt;=N(Employés!T63),ROUND(D63*IF(N(Employés!S63)&gt;0,Employés!S63,TX_ANC_DEF),0),0)))</f>
        <v/>
      </c>
      <c r="G63" s="83">
        <f>IF($A63="","",SUMIFS('Retenues internes'!$F$41:$F$1040,'Retenues internes'!$A$41:$A$1040,PERIODE_DATE,'Retenues internes'!$B$41:$B$1040,$A63))</f>
        <v/>
      </c>
      <c r="H63" s="83">
        <f>IF($A63="","",MAX(D63+E63+F63-G63,0))</f>
        <v/>
      </c>
      <c r="I63" s="83">
        <f>IF($A63="","",MAX(N(Employés!M63)+F63-G63,0))</f>
        <v/>
      </c>
      <c r="J63" s="83">
        <f>IF($A63="","",MIN(ROUND(I63*COEF_ASSIETTE,0),PLAFOND_CNPS))</f>
        <v/>
      </c>
      <c r="K63" s="83">
        <f>IF($A63="","",ROUND(J63*TX_VID_SAL,0))</f>
        <v/>
      </c>
      <c r="L63" s="83">
        <f>IF($A63="","",ROUND(J63*TX_VID_PAT,0))</f>
        <v/>
      </c>
      <c r="M63" s="83">
        <f>IF($A63="","",ROUND(J63*TX_PF,0))</f>
        <v/>
      </c>
      <c r="N63" s="83">
        <f>IF($A63="","",ROUND(J63*TX_AT,0))</f>
        <v/>
      </c>
      <c r="O63" s="83">
        <f>IF($A63="","",ROUND(I63*TX_CFC_SAL,0))</f>
        <v/>
      </c>
      <c r="P63" s="83">
        <f>IF($A63="","",ROUND(I63*TX_CFC_PAT,0))</f>
        <v/>
      </c>
      <c r="Q63" s="83">
        <f>IF($A63="","",ROUND(I63*TX_FNE,0))</f>
        <v/>
      </c>
      <c r="R63" s="83">
        <f>IF($A63="","",IF(H63&lt;=TC_S1,TC_V1,IF(H63&lt;=TC_S2,TC_V2,TC_V3)))</f>
        <v/>
      </c>
      <c r="S63" s="83">
        <f>IF($A63="","",IF(H63&lt;=TC_S1,RAV_V1,IF(H63&lt;=TC_S2,RAV_V2,RAV_V3)))</f>
        <v/>
      </c>
      <c r="T63" s="83">
        <f>IF($A63="","",MAX(I63*12*(1-ABAT_PCT)-ABAT_FIXE,0)/IF(Employés!V63="Oui",MAX(N(Employés!Q63),1),1))</f>
        <v/>
      </c>
      <c r="U63" s="83">
        <f>IF($A63="","",ROUND((IF(T63&lt;=IRPP_P1,T63*IRPP_T1,IF(T63&lt;=IRPP_P2,IRPP_P1*IRPP_T1+(T63-IRPP_P1)*IRPP_T2,IF(T63&lt;=IRPP_P3,IRPP_P1*IRPP_T1+(IRPP_P2-IRPP_P1)*IRPP_T2+(T63-IRPP_P2)*IRPP_T3,IRPP_P1*IRPP_T1+(IRPP_P2-IRPP_P1)*IRPP_T2+(IRPP_P3-IRPP_P2)*IRPP_T3+(T63-IRPP_P3)*IRPP_T4))))*(1+TX_CAC)/12,0))</f>
        <v/>
      </c>
      <c r="V63" s="83">
        <f>IF($A63="","",SUMIFS('Retenues internes'!$D$41:$D$1040,'Retenues internes'!$A$41:$A$1040,PERIODE_DATE,'Retenues internes'!$B$41:$B$1040,$A63))</f>
        <v/>
      </c>
      <c r="W63" s="83">
        <f>IF($A63="","",SUMIFS('Retenues internes'!$E$41:$E$1040,'Retenues internes'!$A$41:$A$1040,PERIODE_DATE,'Retenues internes'!$B$41:$B$1040,$A63))</f>
        <v/>
      </c>
      <c r="X63" s="83">
        <f>IF($A63="","",SUMIFS('Retenues internes'!$G$41:$G$1040,'Retenues internes'!$A$41:$A$1040,PERIODE_DATE,'Retenues internes'!$B$41:$B$1040,$A63))</f>
        <v/>
      </c>
      <c r="Y63" s="83">
        <f>IF($A63="","",SUMIFS('Retenues internes'!$H$41:$H$1040,'Retenues internes'!$A$41:$A$1040,PERIODE_DATE,'Retenues internes'!$B$41:$B$1040,$A63))</f>
        <v/>
      </c>
      <c r="Z63" s="83">
        <f>IF($A63="","",V63+W63+X63+Y63)</f>
        <v/>
      </c>
      <c r="AA63" s="83">
        <f>IF($A63="","",K63+O63+R63+S63+U63)</f>
        <v/>
      </c>
      <c r="AB63" s="82">
        <f>IF($A63="","",L63+M63+N63+P63+Q63)</f>
        <v/>
      </c>
      <c r="AC63" s="83">
        <f>IF($A63="","",H63-AA63-Z63)</f>
        <v/>
      </c>
      <c r="AD63" s="83">
        <f>IF($A63="","",H63+AB63)</f>
        <v/>
      </c>
    </row>
    <row r="64" ht="15" customHeight="1" s="71">
      <c r="A64" s="82">
        <f>IF(OR(Employés!A64="",Employés!N64&lt;&gt;"Actif"),"",Employés!A64)</f>
        <v/>
      </c>
      <c r="B64" s="82">
        <f>IF($A64="","",Employés!B64)</f>
        <v/>
      </c>
      <c r="C64" s="82">
        <f>IF($A64="","",Employés!C64)</f>
        <v/>
      </c>
      <c r="D64" s="83">
        <f>IF($A64="","",N(Employés!K64))</f>
        <v/>
      </c>
      <c r="E64" s="83">
        <f>IF($A64="","",N(Employés!L64))</f>
        <v/>
      </c>
      <c r="F64" s="83">
        <f>IF($A64="","",IF(Employés!U64&lt;&gt;"Oui",0,IF(N(Employés!R64)&gt;=N(Employés!T64),ROUND(D64*IF(N(Employés!S64)&gt;0,Employés!S64,TX_ANC_DEF),0),0)))</f>
        <v/>
      </c>
      <c r="G64" s="83">
        <f>IF($A64="","",SUMIFS('Retenues internes'!$F$41:$F$1040,'Retenues internes'!$A$41:$A$1040,PERIODE_DATE,'Retenues internes'!$B$41:$B$1040,$A64))</f>
        <v/>
      </c>
      <c r="H64" s="83">
        <f>IF($A64="","",MAX(D64+E64+F64-G64,0))</f>
        <v/>
      </c>
      <c r="I64" s="83">
        <f>IF($A64="","",MAX(N(Employés!M64)+F64-G64,0))</f>
        <v/>
      </c>
      <c r="J64" s="83">
        <f>IF($A64="","",MIN(ROUND(I64*COEF_ASSIETTE,0),PLAFOND_CNPS))</f>
        <v/>
      </c>
      <c r="K64" s="83">
        <f>IF($A64="","",ROUND(J64*TX_VID_SAL,0))</f>
        <v/>
      </c>
      <c r="L64" s="83">
        <f>IF($A64="","",ROUND(J64*TX_VID_PAT,0))</f>
        <v/>
      </c>
      <c r="M64" s="83">
        <f>IF($A64="","",ROUND(J64*TX_PF,0))</f>
        <v/>
      </c>
      <c r="N64" s="83">
        <f>IF($A64="","",ROUND(J64*TX_AT,0))</f>
        <v/>
      </c>
      <c r="O64" s="83">
        <f>IF($A64="","",ROUND(I64*TX_CFC_SAL,0))</f>
        <v/>
      </c>
      <c r="P64" s="83">
        <f>IF($A64="","",ROUND(I64*TX_CFC_PAT,0))</f>
        <v/>
      </c>
      <c r="Q64" s="83">
        <f>IF($A64="","",ROUND(I64*TX_FNE,0))</f>
        <v/>
      </c>
      <c r="R64" s="83">
        <f>IF($A64="","",IF(H64&lt;=TC_S1,TC_V1,IF(H64&lt;=TC_S2,TC_V2,TC_V3)))</f>
        <v/>
      </c>
      <c r="S64" s="83">
        <f>IF($A64="","",IF(H64&lt;=TC_S1,RAV_V1,IF(H64&lt;=TC_S2,RAV_V2,RAV_V3)))</f>
        <v/>
      </c>
      <c r="T64" s="83">
        <f>IF($A64="","",MAX(I64*12*(1-ABAT_PCT)-ABAT_FIXE,0)/IF(Employés!V64="Oui",MAX(N(Employés!Q64),1),1))</f>
        <v/>
      </c>
      <c r="U64" s="83">
        <f>IF($A64="","",ROUND((IF(T64&lt;=IRPP_P1,T64*IRPP_T1,IF(T64&lt;=IRPP_P2,IRPP_P1*IRPP_T1+(T64-IRPP_P1)*IRPP_T2,IF(T64&lt;=IRPP_P3,IRPP_P1*IRPP_T1+(IRPP_P2-IRPP_P1)*IRPP_T2+(T64-IRPP_P2)*IRPP_T3,IRPP_P1*IRPP_T1+(IRPP_P2-IRPP_P1)*IRPP_T2+(IRPP_P3-IRPP_P2)*IRPP_T3+(T64-IRPP_P3)*IRPP_T4))))*(1+TX_CAC)/12,0))</f>
        <v/>
      </c>
      <c r="V64" s="83">
        <f>IF($A64="","",SUMIFS('Retenues internes'!$D$41:$D$1040,'Retenues internes'!$A$41:$A$1040,PERIODE_DATE,'Retenues internes'!$B$41:$B$1040,$A64))</f>
        <v/>
      </c>
      <c r="W64" s="83">
        <f>IF($A64="","",SUMIFS('Retenues internes'!$E$41:$E$1040,'Retenues internes'!$A$41:$A$1040,PERIODE_DATE,'Retenues internes'!$B$41:$B$1040,$A64))</f>
        <v/>
      </c>
      <c r="X64" s="83">
        <f>IF($A64="","",SUMIFS('Retenues internes'!$G$41:$G$1040,'Retenues internes'!$A$41:$A$1040,PERIODE_DATE,'Retenues internes'!$B$41:$B$1040,$A64))</f>
        <v/>
      </c>
      <c r="Y64" s="83">
        <f>IF($A64="","",SUMIFS('Retenues internes'!$H$41:$H$1040,'Retenues internes'!$A$41:$A$1040,PERIODE_DATE,'Retenues internes'!$B$41:$B$1040,$A64))</f>
        <v/>
      </c>
      <c r="Z64" s="83">
        <f>IF($A64="","",V64+W64+X64+Y64)</f>
        <v/>
      </c>
      <c r="AA64" s="83">
        <f>IF($A64="","",K64+O64+R64+S64+U64)</f>
        <v/>
      </c>
      <c r="AB64" s="82">
        <f>IF($A64="","",L64+M64+N64+P64+Q64)</f>
        <v/>
      </c>
      <c r="AC64" s="83">
        <f>IF($A64="","",H64-AA64-Z64)</f>
        <v/>
      </c>
      <c r="AD64" s="83">
        <f>IF($A64="","",H64+AB64)</f>
        <v/>
      </c>
    </row>
    <row r="65" ht="15" customHeight="1" s="71">
      <c r="A65" s="108" t="inlineStr">
        <is>
          <t>TOTAUX DU MOIS</t>
        </is>
      </c>
      <c r="D65" s="109">
        <f>SUM(D5:D64)</f>
        <v/>
      </c>
      <c r="E65" s="109">
        <f>SUM(E5:E64)</f>
        <v/>
      </c>
      <c r="F65" s="109">
        <f>SUM(F5:F64)</f>
        <v/>
      </c>
      <c r="G65" s="109">
        <f>SUM(G5:G64)</f>
        <v/>
      </c>
      <c r="H65" s="109">
        <f>SUM(H5:H64)</f>
        <v/>
      </c>
      <c r="I65" s="109">
        <f>SUM(I5:I64)</f>
        <v/>
      </c>
      <c r="J65" s="109">
        <f>SUM(J5:J64)</f>
        <v/>
      </c>
      <c r="K65" s="109">
        <f>SUM(K5:K64)</f>
        <v/>
      </c>
      <c r="L65" s="109">
        <f>SUM(L5:L64)</f>
        <v/>
      </c>
      <c r="M65" s="109">
        <f>SUM(M5:M64)</f>
        <v/>
      </c>
      <c r="N65" s="109">
        <f>SUM(N5:N64)</f>
        <v/>
      </c>
      <c r="O65" s="109">
        <f>SUM(O5:O64)</f>
        <v/>
      </c>
      <c r="P65" s="109">
        <f>SUM(P5:P64)</f>
        <v/>
      </c>
      <c r="Q65" s="109">
        <f>SUM(Q5:Q64)</f>
        <v/>
      </c>
      <c r="R65" s="109">
        <f>SUM(R5:R64)</f>
        <v/>
      </c>
      <c r="S65" s="109">
        <f>SUM(S5:S64)</f>
        <v/>
      </c>
      <c r="U65" s="109">
        <f>SUM(U5:U64)</f>
        <v/>
      </c>
      <c r="V65" s="109">
        <f>SUM(V5:V64)</f>
        <v/>
      </c>
      <c r="W65" s="109">
        <f>SUM(W5:W64)</f>
        <v/>
      </c>
      <c r="X65" s="109">
        <f>SUM(X5:X64)</f>
        <v/>
      </c>
      <c r="Y65" s="109">
        <f>SUM(Y5:Y64)</f>
        <v/>
      </c>
      <c r="Z65" s="109">
        <f>SUM(Z5:Z64)</f>
        <v/>
      </c>
      <c r="AA65" s="109">
        <f>SUM(AA5:AA64)</f>
        <v/>
      </c>
      <c r="AB65" s="109">
        <f>SUM(AB5:AB64)</f>
        <v/>
      </c>
      <c r="AC65" s="109">
        <f>SUM(AC5:AC64)</f>
        <v/>
      </c>
      <c r="AD65" s="109">
        <f>SUM(AD5:AD64)</f>
        <v/>
      </c>
    </row>
    <row r="68" ht="15" customHeight="1" s="71">
      <c r="A68" s="80" t="inlineStr">
        <is>
          <t>RÉPARTITION PAR DÉPARTEMENT</t>
        </is>
      </c>
    </row>
    <row r="69" ht="18.75" customHeight="1" s="71">
      <c r="A69" s="107" t="inlineStr">
        <is>
          <t>Département</t>
        </is>
      </c>
      <c r="B69" s="107" t="inlineStr">
        <is>
          <t>Effectif</t>
        </is>
      </c>
      <c r="C69" s="107" t="inlineStr">
        <is>
          <t>Masse brute</t>
        </is>
      </c>
      <c r="D69" s="107" t="inlineStr">
        <is>
          <t>Net total</t>
        </is>
      </c>
      <c r="E69" s="107" t="inlineStr">
        <is>
          <t>Coût employeur</t>
        </is>
      </c>
    </row>
    <row r="70" ht="15" customHeight="1" s="71">
      <c r="A70" s="82">
        <f>IF(Paramètres!A84="","",Paramètres!A84)</f>
        <v/>
      </c>
      <c r="B70" s="82">
        <f>IF($A70="","",COUNTIF($C$5:$C$64,$A70))</f>
        <v/>
      </c>
      <c r="C70" s="83">
        <f>IF($A70="","",SUMIF($C$5:$C$64,$A70,$H$5:$H$64))</f>
        <v/>
      </c>
      <c r="D70" s="83">
        <f>IF($A70="","",SUMIF($C$5:$C$64,$A70,$AC$5:$AC$64))</f>
        <v/>
      </c>
      <c r="E70" s="83">
        <f>IF($A70="","",SUMIF($C$5:$C$64,$A70,$AD$5:$AD$64))</f>
        <v/>
      </c>
    </row>
    <row r="71" ht="15" customHeight="1" s="71">
      <c r="A71" s="82">
        <f>IF(Paramètres!A85="","",Paramètres!A85)</f>
        <v/>
      </c>
      <c r="B71" s="82">
        <f>IF($A71="","",COUNTIF($C$5:$C$64,$A71))</f>
        <v/>
      </c>
      <c r="C71" s="83">
        <f>IF($A71="","",SUMIF($C$5:$C$64,$A71,$H$5:$H$64))</f>
        <v/>
      </c>
      <c r="D71" s="83">
        <f>IF($A71="","",SUMIF($C$5:$C$64,$A71,$AC$5:$AC$64))</f>
        <v/>
      </c>
      <c r="E71" s="83">
        <f>IF($A71="","",SUMIF($C$5:$C$64,$A71,$AD$5:$AD$64))</f>
        <v/>
      </c>
    </row>
    <row r="72" ht="15" customHeight="1" s="71">
      <c r="A72" s="82">
        <f>IF(Paramètres!A86="","",Paramètres!A86)</f>
        <v/>
      </c>
      <c r="B72" s="82">
        <f>IF($A72="","",COUNTIF($C$5:$C$64,$A72))</f>
        <v/>
      </c>
      <c r="C72" s="83">
        <f>IF($A72="","",SUMIF($C$5:$C$64,$A72,$H$5:$H$64))</f>
        <v/>
      </c>
      <c r="D72" s="83">
        <f>IF($A72="","",SUMIF($C$5:$C$64,$A72,$AC$5:$AC$64))</f>
        <v/>
      </c>
      <c r="E72" s="83">
        <f>IF($A72="","",SUMIF($C$5:$C$64,$A72,$AD$5:$AD$64))</f>
        <v/>
      </c>
    </row>
    <row r="73" ht="15" customHeight="1" s="71">
      <c r="A73" s="82">
        <f>IF(Paramètres!A87="","",Paramètres!A87)</f>
        <v/>
      </c>
      <c r="B73" s="82">
        <f>IF($A73="","",COUNTIF($C$5:$C$64,$A73))</f>
        <v/>
      </c>
      <c r="C73" s="83">
        <f>IF($A73="","",SUMIF($C$5:$C$64,$A73,$H$5:$H$64))</f>
        <v/>
      </c>
      <c r="D73" s="83">
        <f>IF($A73="","",SUMIF($C$5:$C$64,$A73,$AC$5:$AC$64))</f>
        <v/>
      </c>
      <c r="E73" s="83">
        <f>IF($A73="","",SUMIF($C$5:$C$64,$A73,$AD$5:$AD$64))</f>
        <v/>
      </c>
    </row>
    <row r="74" ht="15" customHeight="1" s="71">
      <c r="A74" s="82">
        <f>IF(Paramètres!A88="","",Paramètres!A88)</f>
        <v/>
      </c>
      <c r="B74" s="82">
        <f>IF($A74="","",COUNTIF($C$5:$C$64,$A74))</f>
        <v/>
      </c>
      <c r="C74" s="83">
        <f>IF($A74="","",SUMIF($C$5:$C$64,$A74,$H$5:$H$64))</f>
        <v/>
      </c>
      <c r="D74" s="83">
        <f>IF($A74="","",SUMIF($C$5:$C$64,$A74,$AC$5:$AC$64))</f>
        <v/>
      </c>
      <c r="E74" s="83">
        <f>IF($A74="","",SUMIF($C$5:$C$64,$A74,$AD$5:$AD$64))</f>
        <v/>
      </c>
    </row>
    <row r="75" ht="15" customHeight="1" s="71">
      <c r="A75" s="82">
        <f>IF(Paramètres!A89="","",Paramètres!A89)</f>
        <v/>
      </c>
      <c r="B75" s="82">
        <f>IF($A75="","",COUNTIF($C$5:$C$64,$A75))</f>
        <v/>
      </c>
      <c r="C75" s="83">
        <f>IF($A75="","",SUMIF($C$5:$C$64,$A75,$H$5:$H$64))</f>
        <v/>
      </c>
      <c r="D75" s="83">
        <f>IF($A75="","",SUMIF($C$5:$C$64,$A75,$AC$5:$AC$64))</f>
        <v/>
      </c>
      <c r="E75" s="83">
        <f>IF($A75="","",SUMIF($C$5:$C$64,$A75,$AD$5:$AD$64))</f>
        <v/>
      </c>
    </row>
    <row r="76" ht="15" customHeight="1" s="71">
      <c r="A76" s="82">
        <f>IF(Paramètres!A90="","",Paramètres!A90)</f>
        <v/>
      </c>
      <c r="B76" s="82">
        <f>IF($A76="","",COUNTIF($C$5:$C$64,$A76))</f>
        <v/>
      </c>
      <c r="C76" s="83">
        <f>IF($A76="","",SUMIF($C$5:$C$64,$A76,$H$5:$H$64))</f>
        <v/>
      </c>
      <c r="D76" s="83">
        <f>IF($A76="","",SUMIF($C$5:$C$64,$A76,$AC$5:$AC$64))</f>
        <v/>
      </c>
      <c r="E76" s="83">
        <f>IF($A76="","",SUMIF($C$5:$C$64,$A76,$AD$5:$AD$64))</f>
        <v/>
      </c>
    </row>
    <row r="77" ht="15" customHeight="1" s="71">
      <c r="A77" s="82">
        <f>IF(Paramètres!A91="","",Paramètres!A91)</f>
        <v/>
      </c>
      <c r="B77" s="82">
        <f>IF($A77="","",COUNTIF($C$5:$C$64,$A77))</f>
        <v/>
      </c>
      <c r="C77" s="83">
        <f>IF($A77="","",SUMIF($C$5:$C$64,$A77,$H$5:$H$64))</f>
        <v/>
      </c>
      <c r="D77" s="83">
        <f>IF($A77="","",SUMIF($C$5:$C$64,$A77,$AC$5:$AC$64))</f>
        <v/>
      </c>
      <c r="E77" s="83">
        <f>IF($A77="","",SUMIF($C$5:$C$64,$A77,$AD$5:$AD$64))</f>
        <v/>
      </c>
    </row>
    <row r="78" ht="15" customHeight="1" s="71">
      <c r="A78" s="82">
        <f>IF(Paramètres!A92="","",Paramètres!A92)</f>
        <v/>
      </c>
      <c r="B78" s="82">
        <f>IF($A78="","",COUNTIF($C$5:$C$64,$A78))</f>
        <v/>
      </c>
      <c r="C78" s="83">
        <f>IF($A78="","",SUMIF($C$5:$C$64,$A78,$H$5:$H$64))</f>
        <v/>
      </c>
      <c r="D78" s="83">
        <f>IF($A78="","",SUMIF($C$5:$C$64,$A78,$AC$5:$AC$64))</f>
        <v/>
      </c>
      <c r="E78" s="83">
        <f>IF($A78="","",SUMIF($C$5:$C$64,$A78,$AD$5:$AD$64))</f>
        <v/>
      </c>
    </row>
    <row r="79" ht="15" customHeight="1" s="71">
      <c r="A79" s="82">
        <f>IF(Paramètres!A93="","",Paramètres!A93)</f>
        <v/>
      </c>
      <c r="B79" s="82">
        <f>IF($A79="","",COUNTIF($C$5:$C$64,$A79))</f>
        <v/>
      </c>
      <c r="C79" s="83">
        <f>IF($A79="","",SUMIF($C$5:$C$64,$A79,$H$5:$H$64))</f>
        <v/>
      </c>
      <c r="D79" s="83">
        <f>IF($A79="","",SUMIF($C$5:$C$64,$A79,$AC$5:$AC$64))</f>
        <v/>
      </c>
      <c r="E79" s="83">
        <f>IF($A79="","",SUMIF($C$5:$C$64,$A79,$AD$5:$AD$64))</f>
        <v/>
      </c>
    </row>
  </sheetData>
  <mergeCells count="2">
    <mergeCell ref="A2:AD2"/>
    <mergeCell ref="A1:AD1"/>
  </mergeCell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7.xml><?xml version="1.0" encoding="utf-8"?>
<worksheet xmlns="http://schemas.openxmlformats.org/spreadsheetml/2006/main">
  <sheetPr filterMode="0">
    <outlinePr summaryBelow="1" summaryRight="1"/>
    <pageSetUpPr fitToPage="1"/>
  </sheetPr>
  <dimension ref="A1:F57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selection pane="topLeft" activeCell="B3" activeCellId="0" sqref="B3"/>
    </sheetView>
  </sheetViews>
  <sheetFormatPr baseColWidth="8" defaultColWidth="8.71484375" defaultRowHeight="15" zeroHeight="0" outlineLevelRow="0"/>
  <cols>
    <col width="20" customWidth="1" style="70" min="1" max="1"/>
    <col width="17" customWidth="1" style="70" min="2" max="2"/>
    <col width="16" customWidth="1" style="70" min="3" max="4"/>
    <col width="15" customWidth="1" style="70" min="5" max="6"/>
  </cols>
  <sheetData>
    <row r="1" ht="30" customHeight="1" s="71">
      <c r="D1" s="110" t="inlineStr">
        <is>
          <t>BULLETIN DE PAIE</t>
        </is>
      </c>
    </row>
    <row r="2" ht="30" customHeight="1" s="71"/>
    <row r="3" ht="15" customHeight="1" s="71">
      <c r="A3" s="88" t="inlineStr">
        <is>
          <t>Matricule :</t>
        </is>
      </c>
      <c r="B3" s="111" t="inlineStr">
        <is>
          <t>EE-0001</t>
        </is>
      </c>
      <c r="C3" s="112" t="inlineStr">
        <is>
          <t>Période :</t>
        </is>
      </c>
      <c r="D3" s="113">
        <f>PERIODE_DATE</f>
        <v/>
      </c>
      <c r="E3" s="114">
        <f>IF($D$3=PERIODE_DATE,"PÉRIODE EN COURS",IF(COUNTIFS('Journal de paie'!$A:$A,$D$3,'Journal de paie'!$B:$B,$B$3)&gt;0,"ARCHIVE (Journal de paie)","⚠ PÉRIODE ABSENTE DU JOURNAL"))</f>
        <v/>
      </c>
    </row>
    <row r="4" ht="15" customHeight="1" s="71">
      <c r="A4" s="115" t="n"/>
      <c r="B4" s="115" t="n"/>
      <c r="C4" s="115" t="n"/>
      <c r="D4" s="115" t="n"/>
      <c r="E4" s="115" t="n"/>
      <c r="F4" s="115" t="n"/>
    </row>
    <row r="5" ht="15" customHeight="1" s="71">
      <c r="A5" s="88" t="inlineStr">
        <is>
          <t>ECLOSION EDITION SARL</t>
        </is>
      </c>
      <c r="D5" s="116">
        <f>"Période : "&amp;TEXT(MONTH($D$3),"00")&amp;"/"&amp;YEAR($D$3)</f>
        <v/>
      </c>
    </row>
    <row r="6" ht="15" customHeight="1" s="71">
      <c r="A6" s="117" t="inlineStr">
        <is>
          <t>Carrefour INSTIC – Nouvelle route Kondengui, Yaoundé, Cameroun</t>
        </is>
      </c>
      <c r="D6" s="118">
        <f>"Date de paiement : "&amp;TEXT(DAY(DATE_PAIEMENT),"00")&amp;"/"&amp;TEXT(MONTH(DATE_PAIEMENT),"00")&amp;"/"&amp;YEAR(DATE_PAIEMENT)</f>
        <v/>
      </c>
    </row>
    <row r="7" ht="15" customHeight="1" s="71">
      <c r="A7" s="117" t="inlineStr">
        <is>
          <t>B.P. 33071 Yaoundé · Tél. : (+237) 698 03 15 02 / 678 70 40 86</t>
        </is>
      </c>
      <c r="D7" s="118">
        <f>"Département : "&amp;IFERROR(VLOOKUP($B$3,Employés!$A$5:$V$64,3,0),"")</f>
        <v/>
      </c>
    </row>
    <row r="8" ht="15" customHeight="1" s="71">
      <c r="A8" s="117" t="inlineStr">
        <is>
          <t>eclosionedition@gmail.com · https://eclosioneditions.cm</t>
        </is>
      </c>
      <c r="D8" s="118" t="inlineStr">
        <is>
          <t>Code du Travail camerounais &amp; législation CNPS</t>
        </is>
      </c>
    </row>
    <row r="9" ht="15" customHeight="1" s="71">
      <c r="A9" s="117" t="inlineStr">
        <is>
          <t>RCCM : RC/YAO/2019/B/144 · NIU : M021912751174Y · N° Affil. CNPS : C-YAO-2019-0144</t>
        </is>
      </c>
    </row>
    <row r="11" ht="15" customHeight="1" s="71">
      <c r="A11" s="119" t="inlineStr">
        <is>
          <t>INFORMATIONS SALARIÉ</t>
        </is>
      </c>
    </row>
    <row r="12" ht="15" customHeight="1" s="71">
      <c r="A12" s="120" t="inlineStr">
        <is>
          <t>Matricule</t>
        </is>
      </c>
      <c r="B12" s="82">
        <f>$B$3</f>
        <v/>
      </c>
      <c r="C12" s="120" t="inlineStr">
        <is>
          <t>Département</t>
        </is>
      </c>
      <c r="D12" s="82">
        <f>IF($B$3="","",IFERROR(VLOOKUP($B$3,Employés!$A$5:$V$64,3,0),""))</f>
        <v/>
      </c>
      <c r="E12" s="121" t="n"/>
      <c r="F12" s="122" t="n"/>
    </row>
    <row r="13" ht="15" customHeight="1" s="71">
      <c r="A13" s="120" t="inlineStr">
        <is>
          <t>Nom &amp; Prénom</t>
        </is>
      </c>
      <c r="B13" s="82">
        <f>IF($B$3="","",IFERROR(VLOOKUP($B$3,Employés!$A$5:$V$64,2,0),""))</f>
        <v/>
      </c>
      <c r="C13" s="120" t="inlineStr">
        <is>
          <t>Date d'entrée</t>
        </is>
      </c>
      <c r="D13" s="123">
        <f>IF($B$3="","",IFERROR(IF(N(VLOOKUP($B$3,Employés!$A$5:$V$64,5,0))=0,"À compléter",VLOOKUP($B$3,Employés!$A$5:$V$64,5,0)),""))</f>
        <v/>
      </c>
      <c r="E13" s="121" t="n"/>
      <c r="F13" s="122" t="n"/>
    </row>
    <row r="14" ht="15" customHeight="1" s="71">
      <c r="A14" s="120" t="inlineStr">
        <is>
          <t>N° CNPS</t>
        </is>
      </c>
      <c r="B14" s="82">
        <f>IF($B$3="","",IFERROR(VLOOKUP($B$3,Employés!$A$5:$V$64,7,0),""))</f>
        <v/>
      </c>
      <c r="C14" s="120" t="inlineStr">
        <is>
          <t>Catégorie / Échelon</t>
        </is>
      </c>
      <c r="D14" s="82">
        <f>IF($B$3="","",IFERROR(VLOOKUP($B$3,Employés!$A$5:$V$64,4,0),""))</f>
        <v/>
      </c>
      <c r="E14" s="121" t="n"/>
      <c r="F14" s="122" t="n"/>
    </row>
    <row r="15" ht="15" customHeight="1" s="71">
      <c r="A15" s="120" t="inlineStr">
        <is>
          <t>Parts fiscales</t>
        </is>
      </c>
      <c r="B15" s="82">
        <f>IF($B$3="","",IFERROR(VLOOKUP($B$3,Employés!$A$5:$V$64,17,0),""))</f>
        <v/>
      </c>
      <c r="C15" s="120" t="inlineStr">
        <is>
          <t>Email</t>
        </is>
      </c>
      <c r="D15" s="82">
        <f>IF($B$3="","",IFERROR(VLOOKUP($B$3,Employés!$A$5:$V$64,8,0),""))</f>
        <v/>
      </c>
      <c r="E15" s="121" t="n"/>
      <c r="F15" s="122" t="n"/>
    </row>
    <row r="17" ht="15" customHeight="1" s="71">
      <c r="A17" s="119" t="inlineStr">
        <is>
          <t>ÉLÉMENTS DE RÉMUNÉRATION (FCFA)</t>
        </is>
      </c>
    </row>
    <row r="18" ht="15" customHeight="1" s="71">
      <c r="A18" s="81" t="inlineStr">
        <is>
          <t>Désignation</t>
        </is>
      </c>
      <c r="B18" s="122" t="n"/>
      <c r="C18" s="81" t="inlineStr">
        <is>
          <t>Base de calcul</t>
        </is>
      </c>
      <c r="D18" s="81" t="inlineStr">
        <is>
          <t>Taux / détail</t>
        </is>
      </c>
      <c r="E18" s="81" t="inlineStr">
        <is>
          <t>Montant</t>
        </is>
      </c>
      <c r="F18" s="122" t="n"/>
    </row>
    <row r="19" ht="15" customHeight="1" s="71">
      <c r="A19" s="82" t="inlineStr">
        <is>
          <t>Salaire mensuel de base (forfaitaire)</t>
        </is>
      </c>
      <c r="B19" s="122" t="n"/>
      <c r="C19" s="124">
        <f>"Forfait mensuel"</f>
        <v/>
      </c>
      <c r="D19" s="124">
        <f>"—"</f>
        <v/>
      </c>
      <c r="E19" s="83">
        <f>IF($B$3="","",IF($D$3=PERIODE_DATE,IFERROR(N(INDEX('Livre de paie'!$D:$D,MATCH($B$3,'Livre de paie'!$A:$A,0))),0),SUMIFS('Journal de paie'!$E:$E,'Journal de paie'!$A:$A,$D$3,'Journal de paie'!$B:$B,$B$3)))</f>
        <v/>
      </c>
      <c r="F19" s="122" t="n"/>
    </row>
    <row r="20" ht="15" customHeight="1" s="71">
      <c r="A20" s="82" t="inlineStr">
        <is>
          <t>Compléments de salaire (primes du poste)</t>
        </is>
      </c>
      <c r="B20" s="122" t="n"/>
      <c r="C20" s="124">
        <f>"Forfait"</f>
        <v/>
      </c>
      <c r="D20" s="124">
        <f>"—"</f>
        <v/>
      </c>
      <c r="E20" s="83">
        <f>IF($B$3="","",IF($D$3=PERIODE_DATE,IFERROR(N(INDEX('Livre de paie'!$E:$E,MATCH($B$3,'Livre de paie'!$A:$A,0))),0),SUMIFS('Journal de paie'!$F:$F,'Journal de paie'!$A:$A,$D$3,'Journal de paie'!$B:$B,$B$3)))</f>
        <v/>
      </c>
      <c r="F20" s="122" t="n"/>
    </row>
    <row r="21" ht="15" customHeight="1" s="71">
      <c r="A21" s="82" t="inlineStr">
        <is>
          <t>Prime d'ancienneté</t>
        </is>
      </c>
      <c r="B21" s="122" t="n"/>
      <c r="C21" s="124">
        <f>IFERROR(VLOOKUP($B$3,Employés!$A$5:$V$64,18,0)&amp;" an(s)","—")</f>
        <v/>
      </c>
      <c r="D21" s="124">
        <f>IF(IFERROR(VLOOKUP($B$3,Employés!$A$5:$V$64,21,0),"")="Oui",ROUND(IF(N(IFERROR(VLOOKUP($B$3,Employés!$A$5:$V$64,19,0),0))&gt;0,VLOOKUP($B$3,Employés!$A$5:$V$64,19,0),TX_ANC_DEF)*100,2)&amp;" %","—")</f>
        <v/>
      </c>
      <c r="E21" s="83">
        <f>IF($B$3="","",IF($D$3=PERIODE_DATE,IFERROR(N(INDEX('Livre de paie'!$F:$F,MATCH($B$3,'Livre de paie'!$A:$A,0))),0),SUMIFS('Journal de paie'!$G:$G,'Journal de paie'!$A:$A,$D$3,'Journal de paie'!$B:$B,$B$3)))</f>
        <v/>
      </c>
      <c r="F21" s="122" t="n"/>
    </row>
    <row r="22" ht="15" customHeight="1" s="71">
      <c r="A22" s="82" t="inlineStr">
        <is>
          <t>Retenue absence injustifiée (−)</t>
        </is>
      </c>
      <c r="B22" s="122" t="n"/>
      <c r="C22" s="124">
        <f>"Journal retenues"</f>
        <v/>
      </c>
      <c r="D22" s="124">
        <f>"—"</f>
        <v/>
      </c>
      <c r="E22" s="83">
        <f>-(IF($B$3="","",IF($D$3=PERIODE_DATE,IFERROR(N(INDEX('Livre de paie'!$G:$G,MATCH($B$3,'Livre de paie'!$A:$A,0))),0),SUMIFS('Journal de paie'!$H:$H,'Journal de paie'!$A:$A,$D$3,'Journal de paie'!$B:$B,$B$3))))</f>
        <v/>
      </c>
      <c r="F22" s="122" t="n"/>
    </row>
    <row r="23" ht="15" customHeight="1" s="71">
      <c r="A23" s="125" t="inlineStr">
        <is>
          <t>SALAIRE BRUT DU MOIS</t>
        </is>
      </c>
      <c r="D23" s="126" t="n"/>
      <c r="E23" s="127">
        <f>IF($B$3="","",IF($D$3=PERIODE_DATE,IFERROR(N(INDEX('Livre de paie'!$H:$H,MATCH($B$3,'Livre de paie'!$A:$A,0))),0),SUMIFS('Journal de paie'!$I:$I,'Journal de paie'!$A:$A,$D$3,'Journal de paie'!$B:$B,$B$3)))</f>
        <v/>
      </c>
      <c r="F23" s="122" t="n"/>
    </row>
    <row r="25" ht="15" customHeight="1" s="71">
      <c r="A25" s="119" t="inlineStr">
        <is>
          <t>COTISATIONS SOCIALES &amp; FISCALES — Législation camerounaise</t>
        </is>
      </c>
    </row>
    <row r="26" ht="15" customHeight="1" s="71">
      <c r="A26" s="81" t="inlineStr">
        <is>
          <t>Nature</t>
        </is>
      </c>
      <c r="B26" s="122" t="n"/>
      <c r="C26" s="81" t="inlineStr">
        <is>
          <t>Assiette</t>
        </is>
      </c>
      <c r="D26" s="81" t="inlineStr">
        <is>
          <t>Taux</t>
        </is>
      </c>
      <c r="E26" s="81" t="inlineStr">
        <is>
          <t>Part salarié</t>
        </is>
      </c>
      <c r="F26" s="81" t="inlineStr">
        <is>
          <t>Part patronale</t>
        </is>
      </c>
    </row>
    <row r="27" ht="15" customHeight="1" s="71">
      <c r="A27" s="82" t="inlineStr">
        <is>
          <t>CNPS – Vieillesse, Invalidité, Décès (PVID)</t>
        </is>
      </c>
      <c r="B27" s="122" t="n"/>
      <c r="C27" s="83">
        <f>IF($B$3="","",IF($D$3=PERIODE_DATE,IFERROR(N(INDEX('Livre de paie'!$J:$J,MATCH($B$3,'Livre de paie'!$A:$A,0))),0),SUMIFS('Journal de paie'!$K:$K,'Journal de paie'!$A:$A,$D$3,'Journal de paie'!$B:$B,$B$3)))</f>
        <v/>
      </c>
      <c r="D27" s="124">
        <f>ROUND(TX_VID_SAL*100,2)&amp;" %"&amp;" / "&amp;ROUND(TX_VID_PAT*100,2)&amp;" %"</f>
        <v/>
      </c>
      <c r="E27" s="83">
        <f>IF($B$3="","",IF($D$3=PERIODE_DATE,IFERROR(N(INDEX('Livre de paie'!$K:$K,MATCH($B$3,'Livre de paie'!$A:$A,0))),0),SUMIFS('Journal de paie'!$L:$L,'Journal de paie'!$A:$A,$D$3,'Journal de paie'!$B:$B,$B$3)))</f>
        <v/>
      </c>
      <c r="F27" s="83">
        <f>IF($B$3="","",IF($D$3=PERIODE_DATE,IFERROR(N(INDEX('Livre de paie'!$L:$L,MATCH($B$3,'Livre de paie'!$A:$A,0))),0),SUMIFS('Journal de paie'!$M:$M,'Journal de paie'!$A:$A,$D$3,'Journal de paie'!$B:$B,$B$3)))</f>
        <v/>
      </c>
    </row>
    <row r="28" ht="15" customHeight="1" s="71">
      <c r="A28" s="82" t="inlineStr">
        <is>
          <t>CNPS – Prestations familiales (PF)</t>
        </is>
      </c>
      <c r="B28" s="122" t="n"/>
      <c r="C28" s="128" t="inlineStr">
        <is>
          <t>—</t>
        </is>
      </c>
      <c r="D28" s="124">
        <f>"— / "&amp;ROUND(TX_PF*100,2)&amp;" %"</f>
        <v/>
      </c>
      <c r="E28" s="128" t="inlineStr">
        <is>
          <t>—</t>
        </is>
      </c>
      <c r="F28" s="83">
        <f>IF($B$3="","",IF($D$3=PERIODE_DATE,IFERROR(N(INDEX('Livre de paie'!$M:$M,MATCH($B$3,'Livre de paie'!$A:$A,0))),0),SUMIFS('Journal de paie'!$N:$N,'Journal de paie'!$A:$A,$D$3,'Journal de paie'!$B:$B,$B$3)))</f>
        <v/>
      </c>
    </row>
    <row r="29" ht="15" customHeight="1" s="71">
      <c r="A29" s="82" t="inlineStr">
        <is>
          <t>CNPS – Accidents du travail (AT)</t>
        </is>
      </c>
      <c r="B29" s="122" t="n"/>
      <c r="C29" s="128" t="inlineStr">
        <is>
          <t>—</t>
        </is>
      </c>
      <c r="D29" s="124">
        <f>"— / "&amp;ROUND(TX_AT*100,2)&amp;" %"</f>
        <v/>
      </c>
      <c r="E29" s="128" t="inlineStr">
        <is>
          <t>—</t>
        </is>
      </c>
      <c r="F29" s="83">
        <f>IF($B$3="","",IF($D$3=PERIODE_DATE,IFERROR(N(INDEX('Livre de paie'!$N:$N,MATCH($B$3,'Livre de paie'!$A:$A,0))),0),SUMIFS('Journal de paie'!$O:$O,'Journal de paie'!$A:$A,$D$3,'Journal de paie'!$B:$B,$B$3)))</f>
        <v/>
      </c>
    </row>
    <row r="30" ht="15" customHeight="1" s="71">
      <c r="A30" s="82" t="inlineStr">
        <is>
          <t>CFC – Crédit Foncier du Cameroun</t>
        </is>
      </c>
      <c r="B30" s="122" t="n"/>
      <c r="C30" s="83">
        <f>IF($B$3="","",IF($D$3=PERIODE_DATE,IFERROR(N(INDEX('Livre de paie'!$I:$I,MATCH($B$3,'Livre de paie'!$A:$A,0))),0),SUMIFS('Journal de paie'!$J:$J,'Journal de paie'!$A:$A,$D$3,'Journal de paie'!$B:$B,$B$3)))</f>
        <v/>
      </c>
      <c r="D30" s="124">
        <f>ROUND(TX_CFC_SAL*100,2)&amp;" %"&amp;" / "&amp;ROUND(TX_CFC_PAT*100,2)&amp;" %"</f>
        <v/>
      </c>
      <c r="E30" s="83">
        <f>IF($B$3="","",IF($D$3=PERIODE_DATE,IFERROR(N(INDEX('Livre de paie'!$O:$O,MATCH($B$3,'Livre de paie'!$A:$A,0))),0),SUMIFS('Journal de paie'!$P:$P,'Journal de paie'!$A:$A,$D$3,'Journal de paie'!$B:$B,$B$3)))</f>
        <v/>
      </c>
      <c r="F30" s="83">
        <f>IF($B$3="","",IF($D$3=PERIODE_DATE,IFERROR(N(INDEX('Livre de paie'!$P:$P,MATCH($B$3,'Livre de paie'!$A:$A,0))),0),SUMIFS('Journal de paie'!$Q:$Q,'Journal de paie'!$A:$A,$D$3,'Journal de paie'!$B:$B,$B$3)))</f>
        <v/>
      </c>
    </row>
    <row r="31" ht="15" customHeight="1" s="71">
      <c r="A31" s="82" t="inlineStr">
        <is>
          <t>FNE – Fonds National de l'Emploi</t>
        </is>
      </c>
      <c r="B31" s="122" t="n"/>
      <c r="C31" s="128" t="inlineStr">
        <is>
          <t>—</t>
        </is>
      </c>
      <c r="D31" s="124">
        <f>"— / "&amp;ROUND(TX_FNE*100,2)&amp;" %"</f>
        <v/>
      </c>
      <c r="E31" s="128" t="inlineStr">
        <is>
          <t>—</t>
        </is>
      </c>
      <c r="F31" s="83">
        <f>IF($B$3="","",IF($D$3=PERIODE_DATE,IFERROR(N(INDEX('Livre de paie'!$Q:$Q,MATCH($B$3,'Livre de paie'!$A:$A,0))),0),SUMIFS('Journal de paie'!$R:$R,'Journal de paie'!$A:$A,$D$3,'Journal de paie'!$B:$B,$B$3)))</f>
        <v/>
      </c>
    </row>
    <row r="32" ht="15" customHeight="1" s="71">
      <c r="A32" s="82" t="inlineStr">
        <is>
          <t>Taxe Communale (TC) – barème</t>
        </is>
      </c>
      <c r="B32" s="122" t="n"/>
      <c r="C32" s="128" t="inlineStr">
        <is>
          <t>—</t>
        </is>
      </c>
      <c r="D32" s="124">
        <f>"barème"</f>
        <v/>
      </c>
      <c r="E32" s="83">
        <f>IF($B$3="","",IF($D$3=PERIODE_DATE,IFERROR(N(INDEX('Livre de paie'!$R:$R,MATCH($B$3,'Livre de paie'!$A:$A,0))),0),SUMIFS('Journal de paie'!$S:$S,'Journal de paie'!$A:$A,$D$3,'Journal de paie'!$B:$B,$B$3)))</f>
        <v/>
      </c>
      <c r="F32" s="128" t="inlineStr">
        <is>
          <t>—</t>
        </is>
      </c>
    </row>
    <row r="33" ht="15" customHeight="1" s="71">
      <c r="A33" s="82" t="inlineStr">
        <is>
          <t>Redevance Audiovisuelle (RAV) – barème</t>
        </is>
      </c>
      <c r="B33" s="122" t="n"/>
      <c r="C33" s="128" t="inlineStr">
        <is>
          <t>—</t>
        </is>
      </c>
      <c r="D33" s="124">
        <f>"barème"</f>
        <v/>
      </c>
      <c r="E33" s="83">
        <f>IF($B$3="","",IF($D$3=PERIODE_DATE,IFERROR(N(INDEX('Livre de paie'!$S:$S,MATCH($B$3,'Livre de paie'!$A:$A,0))),0),SUMIFS('Journal de paie'!$T:$T,'Journal de paie'!$A:$A,$D$3,'Journal de paie'!$B:$B,$B$3)))</f>
        <v/>
      </c>
      <c r="F33" s="128" t="inlineStr">
        <is>
          <t>—</t>
        </is>
      </c>
    </row>
    <row r="34" ht="15" customHeight="1" s="71">
      <c r="A34" s="82" t="inlineStr">
        <is>
          <t>IRPP + CAC (barème progressif)</t>
        </is>
      </c>
      <c r="B34" s="122" t="n"/>
      <c r="C34" s="128" t="inlineStr">
        <is>
          <t>—</t>
        </is>
      </c>
      <c r="D34" s="124">
        <f>"barème + "&amp;ROUND(TX_CAC*100,0)&amp;"% CAC"</f>
        <v/>
      </c>
      <c r="E34" s="83">
        <f>IF($B$3="","",IF($D$3=PERIODE_DATE,IFERROR(N(INDEX('Livre de paie'!$U:$U,MATCH($B$3,'Livre de paie'!$A:$A,0))),0),SUMIFS('Journal de paie'!$U:$U,'Journal de paie'!$A:$A,$D$3,'Journal de paie'!$B:$B,$B$3)))</f>
        <v/>
      </c>
      <c r="F34" s="128" t="inlineStr">
        <is>
          <t>—</t>
        </is>
      </c>
    </row>
    <row r="35" ht="15" customHeight="1" s="71">
      <c r="A35" s="125" t="inlineStr">
        <is>
          <t>TOTAL RETENUES LÉGALES / CHARGES</t>
        </is>
      </c>
      <c r="C35" s="126" t="n"/>
      <c r="D35" s="129" t="inlineStr">
        <is>
          <t>—</t>
        </is>
      </c>
      <c r="E35" s="127">
        <f>SUM(E27:E34)</f>
        <v/>
      </c>
      <c r="F35" s="127">
        <f>SUM(F27:F34)</f>
        <v/>
      </c>
    </row>
    <row r="37" ht="15" customHeight="1" s="71">
      <c r="A37" s="119" t="inlineStr">
        <is>
          <t>RETENUES INTERNES DU MOIS — prêts, avances, retards (onglet « Retenues internes »)</t>
        </is>
      </c>
    </row>
    <row r="38" ht="15" customHeight="1" s="71">
      <c r="A38" s="82" t="inlineStr">
        <is>
          <t>Avance sur salaire</t>
        </is>
      </c>
      <c r="B38" s="121" t="n"/>
      <c r="C38" s="121" t="n"/>
      <c r="D38" s="122" t="n"/>
      <c r="E38" s="83">
        <f>IF($B$3="","",SUMIFS('Retenues internes'!$D$41:$D$1040,'Retenues internes'!$A$41:$A$1040,$D$3,'Retenues internes'!$B$41:$B$1040,$B$3))</f>
        <v/>
      </c>
      <c r="F38" s="122" t="n"/>
    </row>
    <row r="39" ht="15" customHeight="1" s="71">
      <c r="A39" s="82" t="inlineStr">
        <is>
          <t>Remboursement prêt personnel</t>
        </is>
      </c>
      <c r="B39" s="121" t="n"/>
      <c r="C39" s="121" t="n"/>
      <c r="D39" s="122" t="n"/>
      <c r="E39" s="83">
        <f>IF($B$3="","",SUMIFS('Retenues internes'!$E$41:$E$1040,'Retenues internes'!$A$41:$A$1040,$D$3,'Retenues internes'!$B$41:$B$1040,$B$3))</f>
        <v/>
      </c>
      <c r="F39" s="122" t="n"/>
    </row>
    <row r="40" ht="15" customHeight="1" s="71">
      <c r="A40" s="82" t="inlineStr">
        <is>
          <t>Retenue retard non justifié</t>
        </is>
      </c>
      <c r="B40" s="121" t="n"/>
      <c r="C40" s="121" t="n"/>
      <c r="D40" s="122" t="n"/>
      <c r="E40" s="83">
        <f>IF($B$3="","",SUMIFS('Retenues internes'!$G$41:$G$1040,'Retenues internes'!$A$41:$A$1040,$D$3,'Retenues internes'!$B$41:$B$1040,$B$3))</f>
        <v/>
      </c>
      <c r="F40" s="122" t="n"/>
    </row>
    <row r="41" ht="15" customHeight="1" s="71">
      <c r="A41" s="82" t="inlineStr">
        <is>
          <t>Autres retenues internes</t>
        </is>
      </c>
      <c r="B41" s="121" t="n"/>
      <c r="C41" s="121" t="n"/>
      <c r="D41" s="122" t="n"/>
      <c r="E41" s="83">
        <f>IF($B$3="","",SUMIFS('Retenues internes'!$H$41:$H$1040,'Retenues internes'!$A$41:$A$1040,$D$3,'Retenues internes'!$B$41:$B$1040,$B$3))</f>
        <v/>
      </c>
      <c r="F41" s="122" t="n"/>
    </row>
    <row r="42" ht="15" customHeight="1" s="71">
      <c r="A42" s="125" t="inlineStr">
        <is>
          <t>TOTAL RETENUES INTERNES</t>
        </is>
      </c>
      <c r="D42" s="126" t="n"/>
      <c r="E42" s="127">
        <f>SUM(E38:E41)</f>
        <v/>
      </c>
      <c r="F42" s="122" t="n"/>
    </row>
    <row r="44" ht="24" customHeight="1" s="71">
      <c r="A44" s="130" t="inlineStr">
        <is>
          <t>NET À PAYER</t>
        </is>
      </c>
      <c r="D44" s="131">
        <f>E23-E35-E42</f>
        <v/>
      </c>
    </row>
    <row r="45" ht="15" customHeight="1" s="71">
      <c r="A45" s="89" t="inlineStr">
        <is>
          <t>Coût total employeur</t>
        </is>
      </c>
      <c r="D45" s="132">
        <f>E23+F35</f>
        <v/>
      </c>
    </row>
    <row r="47" ht="15" customHeight="1" s="71">
      <c r="A47" s="88" t="inlineStr">
        <is>
          <t>Mode de paiement :</t>
        </is>
      </c>
      <c r="B47" s="89">
        <f>IF($B$3="","",IFERROR(VLOOKUP($B$3,Employés!$A$5:$V$64,15,0),""))</f>
        <v/>
      </c>
      <c r="D47" s="112" t="inlineStr">
        <is>
          <t>N° compte :</t>
        </is>
      </c>
      <c r="E47" s="89">
        <f>IF($B$3="","",IFERROR(VLOOKUP($B$3,Employés!$A$5:$V$64,16,0),""))</f>
        <v/>
      </c>
    </row>
    <row r="48" ht="15" customHeight="1" s="71">
      <c r="A48" s="133" t="inlineStr">
        <is>
          <t>Congés payés : acquisition 1,5 jour ouvrable / mois de service effectif (art. 89 du Code du Travail camerounais).</t>
        </is>
      </c>
    </row>
    <row r="49" ht="15" customHeight="1" s="71">
      <c r="A49" s="134" t="n"/>
      <c r="B49" s="134" t="n"/>
      <c r="C49" s="134" t="n"/>
      <c r="D49" s="134" t="n"/>
      <c r="E49" s="134" t="n"/>
      <c r="F49" s="134" t="n"/>
    </row>
    <row r="50" ht="15" customHeight="1" s="71">
      <c r="A50" s="133" t="inlineStr">
        <is>
          <t>Document à conserver sans limitation de durée (Code du Travail camerounais, art. 68). Moteur de paie Éclosion V2.</t>
        </is>
      </c>
    </row>
    <row r="52" ht="15" customHeight="1" s="71">
      <c r="A52" s="119" t="inlineStr">
        <is>
          <t>INFORMATIONS COMPLÉMENTAIRES &amp; CONGÉS</t>
        </is>
      </c>
    </row>
    <row r="53" ht="15" customHeight="1" s="71">
      <c r="A53" s="120" t="inlineStr">
        <is>
          <t>Type de contrat</t>
        </is>
      </c>
      <c r="B53" s="82">
        <f>IF($B$3="","",IF(ISBLANK(INDEX(Employés!$AF:$AF,MATCH($B$3,Employés!$A:$A,0))),"À compléter",INDEX(Employés!$AF:$AF,MATCH($B$3,Employés!$A:$A,0))))</f>
        <v/>
      </c>
      <c r="C53" s="120" t="inlineStr">
        <is>
          <t>Fonction / Poste</t>
        </is>
      </c>
      <c r="D53" s="82">
        <f>IF($B$3="","",IF(ISBLANK(INDEX(Employés!$AH:$AH,MATCH($B$3,Employés!$A:$A,0))),"À compléter",INDEX(Employés!$AH:$AH,MATCH($B$3,Employés!$A:$A,0))))</f>
        <v/>
      </c>
      <c r="E53" s="121" t="n"/>
      <c r="F53" s="122" t="n"/>
    </row>
    <row r="54" ht="15" customHeight="1" s="71">
      <c r="A54" s="120" t="inlineStr">
        <is>
          <t>Date de naissance</t>
        </is>
      </c>
      <c r="B54" s="140">
        <f>IF($B$3="","",IF(ISBLANK(INDEX(Employés!$W:$W,MATCH($B$3,Employés!$A:$A,0))),"À compléter",INDEX(Employés!$W:$W,MATCH($B$3,Employés!$A:$A,0))))</f>
        <v/>
      </c>
      <c r="C54" s="120" t="inlineStr">
        <is>
          <t>Situation familiale</t>
        </is>
      </c>
      <c r="D54" s="82">
        <f>IF($B$3="","",IF(ISBLANK(INDEX(Employés!$Z:$Z,MATCH($B$3,Employés!$A:$A,0))),"À compléter",INDEX(Employés!$Z:$Z,MATCH($B$3,Employés!$A:$A,0))))</f>
        <v/>
      </c>
      <c r="E54" s="121" t="n"/>
      <c r="F54" s="122" t="n"/>
    </row>
    <row r="55" ht="15" customHeight="1" s="71">
      <c r="A55" s="120" t="inlineStr">
        <is>
          <t>Téléphone</t>
        </is>
      </c>
      <c r="B55" s="82">
        <f>IF($B$3="","",IFERROR(IF(N(VLOOKUP($B$3,Employés!$A$5:$AQ$64,30,0))=0,"À compléter",VLOOKUP($B$3,Employés!$A$5:$AQ$64,30,0)),""))</f>
        <v/>
      </c>
      <c r="C55" s="120" t="inlineStr">
        <is>
          <t>Contact urgence</t>
        </is>
      </c>
      <c r="D55" s="82">
        <f>IF($B$3="","",IF(ISBLANK(INDEX(Employés!$AI:$AI,MATCH($B$3,Employés!$A:$A,0))),"À compléter",INDEX(Employés!$AI:$AI,MATCH($B$3,Employés!$A:$A,0))&amp;" – "&amp;INDEX(Employés!$AJ:$AJ,MATCH($B$3,Employés!$A:$A,0))))</f>
        <v/>
      </c>
      <c r="E55" s="121" t="n"/>
      <c r="F55" s="122" t="n"/>
    </row>
    <row r="56" ht="15" customHeight="1" s="71">
      <c r="A56" s="120" t="inlineStr">
        <is>
          <t>Solde congés disponible (j)</t>
        </is>
      </c>
      <c r="B56" s="82">
        <f>IF($B$3="","",IFERROR(VLOOKUP($B$3,Employés!$A$5:$AQ$64,41,0),""))</f>
        <v/>
      </c>
      <c r="C56" s="120" t="inlineStr">
        <is>
          <t>Jours de congés pris (cumul)</t>
        </is>
      </c>
      <c r="D56" s="82">
        <f>IF($B$3="","",IFERROR(VLOOKUP($B$3,Employés!$A$5:$AQ$64,40,0),""))</f>
        <v/>
      </c>
      <c r="E56" s="121" t="n"/>
      <c r="F56" s="122" t="n"/>
    </row>
    <row r="57" ht="15" customHeight="1" s="71">
      <c r="A57" s="120" t="inlineStr">
        <is>
          <t>Date dernier congé pris</t>
        </is>
      </c>
      <c r="B57" s="140">
        <f>IF($B$3="","",IF(ISBLANK(INDEX(Employés!$AP:$AP,MATCH($B$3,Employés!$A:$A,0))),"À compléter",INDEX(Employés!$AP:$AP,MATCH($B$3,Employés!$A:$A,0))))</f>
        <v/>
      </c>
      <c r="C57" s="120" t="inlineStr">
        <is>
          <t>Date prochain congé prévu</t>
        </is>
      </c>
      <c r="D57" s="140">
        <f>IF($B$3="","",IF(ISBLANK(INDEX(Employés!$AQ:$AQ,MATCH($B$3,Employés!$A:$A,0))),"À compléter",INDEX(Employés!$AQ:$AQ,MATCH($B$3,Employés!$A:$A,0))))</f>
        <v/>
      </c>
      <c r="E57" s="121" t="n"/>
      <c r="F57" s="122" t="n"/>
    </row>
  </sheetData>
  <mergeCells count="65">
    <mergeCell ref="A23:D23"/>
    <mergeCell ref="A30:B30"/>
    <mergeCell ref="D13:F13"/>
    <mergeCell ref="B47:C47"/>
    <mergeCell ref="A31:B31"/>
    <mergeCell ref="A37:F37"/>
    <mergeCell ref="A38:D38"/>
    <mergeCell ref="E42:F42"/>
    <mergeCell ref="E23:F23"/>
    <mergeCell ref="A50:F50"/>
    <mergeCell ref="D7:F7"/>
    <mergeCell ref="D53:F53"/>
    <mergeCell ref="E39:F39"/>
    <mergeCell ref="D1:F2"/>
    <mergeCell ref="A40:D40"/>
    <mergeCell ref="E20:F20"/>
    <mergeCell ref="E38:F38"/>
    <mergeCell ref="A5:C5"/>
    <mergeCell ref="A8:C8"/>
    <mergeCell ref="E19:F19"/>
    <mergeCell ref="A39:D39"/>
    <mergeCell ref="D12:F12"/>
    <mergeCell ref="D56:F56"/>
    <mergeCell ref="A17:F17"/>
    <mergeCell ref="A18:B18"/>
    <mergeCell ref="D8:F8"/>
    <mergeCell ref="A27:B27"/>
    <mergeCell ref="D15:F15"/>
    <mergeCell ref="A35:C35"/>
    <mergeCell ref="E40:F40"/>
    <mergeCell ref="D55:F55"/>
    <mergeCell ref="A34:B34"/>
    <mergeCell ref="A26:B26"/>
    <mergeCell ref="A21:B21"/>
    <mergeCell ref="D14:F14"/>
    <mergeCell ref="A52:F52"/>
    <mergeCell ref="A44:C44"/>
    <mergeCell ref="D5:F5"/>
    <mergeCell ref="A33:B33"/>
    <mergeCell ref="D54:F54"/>
    <mergeCell ref="A9:C9"/>
    <mergeCell ref="A32:B32"/>
    <mergeCell ref="D44:F44"/>
    <mergeCell ref="A41:D41"/>
    <mergeCell ref="D57:F57"/>
    <mergeCell ref="A48:F48"/>
    <mergeCell ref="A22:B22"/>
    <mergeCell ref="A11:F11"/>
    <mergeCell ref="A20:B20"/>
    <mergeCell ref="A29:B29"/>
    <mergeCell ref="E21:F21"/>
    <mergeCell ref="A45:C45"/>
    <mergeCell ref="E18:F18"/>
    <mergeCell ref="A19:B19"/>
    <mergeCell ref="E41:F41"/>
    <mergeCell ref="A6:C6"/>
    <mergeCell ref="D6:F6"/>
    <mergeCell ref="A28:B28"/>
    <mergeCell ref="E22:F22"/>
    <mergeCell ref="D45:F45"/>
    <mergeCell ref="E3:F3"/>
    <mergeCell ref="A7:C7"/>
    <mergeCell ref="A42:D42"/>
    <mergeCell ref="E47:F47"/>
    <mergeCell ref="A25:F25"/>
  </mergeCells>
  <dataValidations count="1">
    <dataValidation sqref="B3" showDropDown="0" showInputMessage="0" showErrorMessage="0" allowBlank="0" type="list" errorStyle="stop" operator="between">
      <formula1>LISTE_MATRICULES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1" scale="100" fitToHeight="1" fitToWidth="1" pageOrder="downThenOver" blackAndWhite="0" draft="0" horizontalDpi="300" verticalDpi="300" copies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filterMode="0">
    <outlinePr summaryBelow="1" summaryRight="1"/>
    <pageSetUpPr fitToPage="0"/>
  </sheetPr>
  <dimension ref="A1:BC64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baseColWidth="8" defaultColWidth="8.71484375" defaultRowHeight="15" zeroHeight="0" outlineLevelRow="0"/>
  <cols>
    <col width="12" customWidth="1" style="70" min="1" max="1"/>
    <col width="10" customWidth="1" style="70" min="2" max="2"/>
    <col width="30" customWidth="1" style="70" min="3" max="3"/>
    <col width="24" customWidth="1" style="70" min="4" max="4"/>
    <col width="11" customWidth="1" style="70" min="5" max="27"/>
    <col width="3" customWidth="1" style="70" min="28" max="28"/>
    <col width="12" customWidth="1" style="70" min="29" max="29"/>
    <col width="10" customWidth="1" style="70" min="30" max="30"/>
    <col width="28" customWidth="1" style="70" min="31" max="31"/>
    <col width="22" customWidth="1" style="70" min="32" max="32"/>
    <col width="11" customWidth="1" style="70" min="33" max="55"/>
  </cols>
  <sheetData>
    <row r="1" ht="15.75" customHeight="1" s="71">
      <c r="A1" s="99" t="inlineStr">
        <is>
          <t>JOURNAL DE PAIE — ARCHIVE LONGITUDINALE (20 ans et plus)</t>
        </is>
      </c>
      <c r="AC1" s="135" t="inlineStr">
        <is>
          <t>ZONE DE PRÉPARATION AUTOMATIQUE — PÉRIODE EN COURS</t>
        </is>
      </c>
    </row>
    <row r="2" ht="45.75" customHeight="1" s="71">
      <c r="A2" s="106" t="inlineStr">
        <is>
          <t>Alimenté automatiquement par la macro « ClôturerMois » (valeurs figées, une ligne par salarié et par mois). NE JAMAIS SAISIR À LA MAIN. Permet de rééditer tout bulletin passé et alimente le Tableau de bord pluriannuel.</t>
        </is>
      </c>
      <c r="AC2" s="136" t="inlineStr">
        <is>
          <t>Cette zone récupère automatiquement les données du Livre de paie, des Employés et des Retenues internes, déjà au format du Journal. CLÔTURE SANS MACRO (3 gestes) : ① sélectionner les lignes remplies ci-dessous (AC5 à BC…) ② Copier ③ clic droit sur la 1re cellule vide de la colonne A → Collage spécial → Valeurs. Puis avancer la période dans Paramètres!B3. AVEC MACRO : « CloturerMois » fait tout en 1 clic.</t>
        </is>
      </c>
    </row>
    <row r="3" ht="15" customHeight="1" s="71">
      <c r="AC3" s="137">
        <f>IF(COUNTIF($A:$A,PERIODE_DATE)&gt;0,"⚠ ATTENTION : la période "&amp;TEXT(MONTH(PERIODE_DATE),"00")&amp;"/"&amp;YEAR(PERIODE_DATE)&amp;" est DÉJÀ archivée à gauche — ne pas recoller !","Période "&amp;TEXT(MONTH(PERIODE_DATE),"00")&amp;"/"&amp;YEAR(PERIODE_DATE)&amp;" : prête à archiver ("&amp;SUMPRODUCT(--(AD5:AD64&lt;&gt;""))&amp;" salarié(s) ci-dessous)")</f>
        <v/>
      </c>
    </row>
    <row r="4" ht="18.75" customHeight="1" s="71">
      <c r="A4" s="107" t="inlineStr">
        <is>
          <t>Période</t>
        </is>
      </c>
      <c r="B4" s="107" t="inlineStr">
        <is>
          <t>Matricule</t>
        </is>
      </c>
      <c r="C4" s="107" t="inlineStr">
        <is>
          <t>Nom &amp; Prénom</t>
        </is>
      </c>
      <c r="D4" s="107" t="inlineStr">
        <is>
          <t>Département</t>
        </is>
      </c>
      <c r="E4" s="107" t="inlineStr">
        <is>
          <t>Salaire de base</t>
        </is>
      </c>
      <c r="F4" s="107" t="inlineStr">
        <is>
          <t>Compléments</t>
        </is>
      </c>
      <c r="G4" s="107" t="inlineStr">
        <is>
          <t>Prime ancienneté</t>
        </is>
      </c>
      <c r="H4" s="107" t="inlineStr">
        <is>
          <t>Retenue absence</t>
        </is>
      </c>
      <c r="I4" s="107" t="inlineStr">
        <is>
          <t>SALAIRE BRUT</t>
        </is>
      </c>
      <c r="J4" s="107" t="inlineStr">
        <is>
          <t>Assiette fiscale</t>
        </is>
      </c>
      <c r="K4" s="107" t="inlineStr">
        <is>
          <t>Assiette CNPS</t>
        </is>
      </c>
      <c r="L4" s="107" t="inlineStr">
        <is>
          <t>PVID salarié</t>
        </is>
      </c>
      <c r="M4" s="107" t="inlineStr">
        <is>
          <t>PVID patronal</t>
        </is>
      </c>
      <c r="N4" s="107" t="inlineStr">
        <is>
          <t>Prest. familiales</t>
        </is>
      </c>
      <c r="O4" s="107" t="inlineStr">
        <is>
          <t>Accidents travail</t>
        </is>
      </c>
      <c r="P4" s="107" t="inlineStr">
        <is>
          <t>CFC salarié</t>
        </is>
      </c>
      <c r="Q4" s="107" t="inlineStr">
        <is>
          <t>CFC patronal</t>
        </is>
      </c>
      <c r="R4" s="107" t="inlineStr">
        <is>
          <t>FNE patronal</t>
        </is>
      </c>
      <c r="S4" s="107" t="inlineStr">
        <is>
          <t>Taxe communale</t>
        </is>
      </c>
      <c r="T4" s="107" t="inlineStr">
        <is>
          <t>RAV</t>
        </is>
      </c>
      <c r="U4" s="107" t="inlineStr">
        <is>
          <t>IRPP + CAC</t>
        </is>
      </c>
      <c r="V4" s="107" t="inlineStr">
        <is>
          <t>Retenues internes</t>
        </is>
      </c>
      <c r="W4" s="107" t="inlineStr">
        <is>
          <t>Total ret. salariales</t>
        </is>
      </c>
      <c r="X4" s="107" t="inlineStr">
        <is>
          <t>Total ch. patronales</t>
        </is>
      </c>
      <c r="Y4" s="107" t="inlineStr">
        <is>
          <t>NET À PAYER</t>
        </is>
      </c>
      <c r="Z4" s="107" t="inlineStr">
        <is>
          <t>Coût employeur</t>
        </is>
      </c>
      <c r="AA4" s="107" t="inlineStr">
        <is>
          <t>Date de clôture</t>
        </is>
      </c>
      <c r="AC4" s="107" t="inlineStr">
        <is>
          <t>Période</t>
        </is>
      </c>
      <c r="AD4" s="107" t="inlineStr">
        <is>
          <t>Matricule</t>
        </is>
      </c>
      <c r="AE4" s="107" t="inlineStr">
        <is>
          <t>Nom &amp; Prénom</t>
        </is>
      </c>
      <c r="AF4" s="107" t="inlineStr">
        <is>
          <t>Département</t>
        </is>
      </c>
      <c r="AG4" s="107" t="inlineStr">
        <is>
          <t>Salaire de base</t>
        </is>
      </c>
      <c r="AH4" s="107" t="inlineStr">
        <is>
          <t>Compléments</t>
        </is>
      </c>
      <c r="AI4" s="107" t="inlineStr">
        <is>
          <t>Prime ancienneté</t>
        </is>
      </c>
      <c r="AJ4" s="107" t="inlineStr">
        <is>
          <t>Retenue absence</t>
        </is>
      </c>
      <c r="AK4" s="107" t="inlineStr">
        <is>
          <t>SALAIRE BRUT</t>
        </is>
      </c>
      <c r="AL4" s="107" t="inlineStr">
        <is>
          <t>Assiette fiscale</t>
        </is>
      </c>
      <c r="AM4" s="107" t="inlineStr">
        <is>
          <t>Assiette CNPS</t>
        </is>
      </c>
      <c r="AN4" s="107" t="inlineStr">
        <is>
          <t>PVID salarié</t>
        </is>
      </c>
      <c r="AO4" s="107" t="inlineStr">
        <is>
          <t>PVID patronal</t>
        </is>
      </c>
      <c r="AP4" s="107" t="inlineStr">
        <is>
          <t>Prest. familiales</t>
        </is>
      </c>
      <c r="AQ4" s="107" t="inlineStr">
        <is>
          <t>Accidents travail</t>
        </is>
      </c>
      <c r="AR4" s="107" t="inlineStr">
        <is>
          <t>CFC salarié</t>
        </is>
      </c>
      <c r="AS4" s="107" t="inlineStr">
        <is>
          <t>CFC patronal</t>
        </is>
      </c>
      <c r="AT4" s="107" t="inlineStr">
        <is>
          <t>FNE patronal</t>
        </is>
      </c>
      <c r="AU4" s="107" t="inlineStr">
        <is>
          <t>Taxe communale</t>
        </is>
      </c>
      <c r="AV4" s="107" t="inlineStr">
        <is>
          <t>RAV</t>
        </is>
      </c>
      <c r="AW4" s="107" t="inlineStr">
        <is>
          <t>IRPP + CAC</t>
        </is>
      </c>
      <c r="AX4" s="107" t="inlineStr">
        <is>
          <t>Retenues internes</t>
        </is>
      </c>
      <c r="AY4" s="107" t="inlineStr">
        <is>
          <t>Total ret. salariales</t>
        </is>
      </c>
      <c r="AZ4" s="107" t="inlineStr">
        <is>
          <t>Total ch. patronales</t>
        </is>
      </c>
      <c r="BA4" s="107" t="inlineStr">
        <is>
          <t>NET À PAYER</t>
        </is>
      </c>
      <c r="BB4" s="107" t="inlineStr">
        <is>
          <t>Coût employeur</t>
        </is>
      </c>
      <c r="BC4" s="107" t="inlineStr">
        <is>
          <t>Date de clôture</t>
        </is>
      </c>
    </row>
    <row r="5" ht="15" customHeight="1" s="71">
      <c r="AC5" s="138">
        <f>IF('Livre de paie'!$A5="","",PERIODE_DATE)</f>
        <v/>
      </c>
      <c r="AD5" s="82">
        <f>IF('Livre de paie'!$A5="","",'Livre de paie'!A5)</f>
        <v/>
      </c>
      <c r="AE5" s="82">
        <f>IF('Livre de paie'!$A5="","",'Livre de paie'!B5)</f>
        <v/>
      </c>
      <c r="AF5" s="82">
        <f>IF('Livre de paie'!$A5="","",'Livre de paie'!C5)</f>
        <v/>
      </c>
      <c r="AG5" s="83">
        <f>IF('Livre de paie'!$A5="","",'Livre de paie'!D5)</f>
        <v/>
      </c>
      <c r="AH5" s="83">
        <f>IF('Livre de paie'!$A5="","",'Livre de paie'!E5)</f>
        <v/>
      </c>
      <c r="AI5" s="83">
        <f>IF('Livre de paie'!$A5="","",'Livre de paie'!F5)</f>
        <v/>
      </c>
      <c r="AJ5" s="83">
        <f>IF('Livre de paie'!$A5="","",'Livre de paie'!G5)</f>
        <v/>
      </c>
      <c r="AK5" s="83">
        <f>IF('Livre de paie'!$A5="","",'Livre de paie'!H5)</f>
        <v/>
      </c>
      <c r="AL5" s="83">
        <f>IF('Livre de paie'!$A5="","",'Livre de paie'!I5)</f>
        <v/>
      </c>
      <c r="AM5" s="83">
        <f>IF('Livre de paie'!$A5="","",'Livre de paie'!J5)</f>
        <v/>
      </c>
      <c r="AN5" s="83">
        <f>IF('Livre de paie'!$A5="","",'Livre de paie'!K5)</f>
        <v/>
      </c>
      <c r="AO5" s="83">
        <f>IF('Livre de paie'!$A5="","",'Livre de paie'!L5)</f>
        <v/>
      </c>
      <c r="AP5" s="83">
        <f>IF('Livre de paie'!$A5="","",'Livre de paie'!M5)</f>
        <v/>
      </c>
      <c r="AQ5" s="83">
        <f>IF('Livre de paie'!$A5="","",'Livre de paie'!N5)</f>
        <v/>
      </c>
      <c r="AR5" s="83">
        <f>IF('Livre de paie'!$A5="","",'Livre de paie'!O5)</f>
        <v/>
      </c>
      <c r="AS5" s="83">
        <f>IF('Livre de paie'!$A5="","",'Livre de paie'!P5)</f>
        <v/>
      </c>
      <c r="AT5" s="83">
        <f>IF('Livre de paie'!$A5="","",'Livre de paie'!Q5)</f>
        <v/>
      </c>
      <c r="AU5" s="83">
        <f>IF('Livre de paie'!$A5="","",'Livre de paie'!R5)</f>
        <v/>
      </c>
      <c r="AV5" s="83">
        <f>IF('Livre de paie'!$A5="","",'Livre de paie'!S5)</f>
        <v/>
      </c>
      <c r="AW5" s="83">
        <f>IF('Livre de paie'!$A5="","",'Livre de paie'!U5)</f>
        <v/>
      </c>
      <c r="AX5" s="83">
        <f>IF('Livre de paie'!$A5="","",'Livre de paie'!Z5)</f>
        <v/>
      </c>
      <c r="AY5" s="83">
        <f>IF('Livre de paie'!$A5="","",'Livre de paie'!AA5)</f>
        <v/>
      </c>
      <c r="AZ5" s="83">
        <f>IF('Livre de paie'!$A5="","",'Livre de paie'!AB5)</f>
        <v/>
      </c>
      <c r="BA5" s="83">
        <f>IF('Livre de paie'!$A5="","",'Livre de paie'!AC5)</f>
        <v/>
      </c>
      <c r="BB5" s="83">
        <f>IF('Livre de paie'!$A5="","",'Livre de paie'!AD5)</f>
        <v/>
      </c>
      <c r="BC5" s="123">
        <f>IF('Livre de paie'!$A5="","",TODAY())</f>
        <v/>
      </c>
    </row>
    <row r="6" ht="15" customHeight="1" s="71">
      <c r="AC6" s="138">
        <f>IF('Livre de paie'!$A6="","",PERIODE_DATE)</f>
        <v/>
      </c>
      <c r="AD6" s="82">
        <f>IF('Livre de paie'!$A6="","",'Livre de paie'!A6)</f>
        <v/>
      </c>
      <c r="AE6" s="82">
        <f>IF('Livre de paie'!$A6="","",'Livre de paie'!B6)</f>
        <v/>
      </c>
      <c r="AF6" s="82">
        <f>IF('Livre de paie'!$A6="","",'Livre de paie'!C6)</f>
        <v/>
      </c>
      <c r="AG6" s="83">
        <f>IF('Livre de paie'!$A6="","",'Livre de paie'!D6)</f>
        <v/>
      </c>
      <c r="AH6" s="83">
        <f>IF('Livre de paie'!$A6="","",'Livre de paie'!E6)</f>
        <v/>
      </c>
      <c r="AI6" s="83">
        <f>IF('Livre de paie'!$A6="","",'Livre de paie'!F6)</f>
        <v/>
      </c>
      <c r="AJ6" s="83">
        <f>IF('Livre de paie'!$A6="","",'Livre de paie'!G6)</f>
        <v/>
      </c>
      <c r="AK6" s="83">
        <f>IF('Livre de paie'!$A6="","",'Livre de paie'!H6)</f>
        <v/>
      </c>
      <c r="AL6" s="83">
        <f>IF('Livre de paie'!$A6="","",'Livre de paie'!I6)</f>
        <v/>
      </c>
      <c r="AM6" s="83">
        <f>IF('Livre de paie'!$A6="","",'Livre de paie'!J6)</f>
        <v/>
      </c>
      <c r="AN6" s="83">
        <f>IF('Livre de paie'!$A6="","",'Livre de paie'!K6)</f>
        <v/>
      </c>
      <c r="AO6" s="83">
        <f>IF('Livre de paie'!$A6="","",'Livre de paie'!L6)</f>
        <v/>
      </c>
      <c r="AP6" s="83">
        <f>IF('Livre de paie'!$A6="","",'Livre de paie'!M6)</f>
        <v/>
      </c>
      <c r="AQ6" s="83">
        <f>IF('Livre de paie'!$A6="","",'Livre de paie'!N6)</f>
        <v/>
      </c>
      <c r="AR6" s="83">
        <f>IF('Livre de paie'!$A6="","",'Livre de paie'!O6)</f>
        <v/>
      </c>
      <c r="AS6" s="83">
        <f>IF('Livre de paie'!$A6="","",'Livre de paie'!P6)</f>
        <v/>
      </c>
      <c r="AT6" s="83">
        <f>IF('Livre de paie'!$A6="","",'Livre de paie'!Q6)</f>
        <v/>
      </c>
      <c r="AU6" s="83">
        <f>IF('Livre de paie'!$A6="","",'Livre de paie'!R6)</f>
        <v/>
      </c>
      <c r="AV6" s="83">
        <f>IF('Livre de paie'!$A6="","",'Livre de paie'!S6)</f>
        <v/>
      </c>
      <c r="AW6" s="83">
        <f>IF('Livre de paie'!$A6="","",'Livre de paie'!U6)</f>
        <v/>
      </c>
      <c r="AX6" s="83">
        <f>IF('Livre de paie'!$A6="","",'Livre de paie'!Z6)</f>
        <v/>
      </c>
      <c r="AY6" s="83">
        <f>IF('Livre de paie'!$A6="","",'Livre de paie'!AA6)</f>
        <v/>
      </c>
      <c r="AZ6" s="83">
        <f>IF('Livre de paie'!$A6="","",'Livre de paie'!AB6)</f>
        <v/>
      </c>
      <c r="BA6" s="83">
        <f>IF('Livre de paie'!$A6="","",'Livre de paie'!AC6)</f>
        <v/>
      </c>
      <c r="BB6" s="83">
        <f>IF('Livre de paie'!$A6="","",'Livre de paie'!AD6)</f>
        <v/>
      </c>
      <c r="BC6" s="123">
        <f>IF('Livre de paie'!$A6="","",TODAY())</f>
        <v/>
      </c>
    </row>
    <row r="7" ht="15" customHeight="1" s="71">
      <c r="AC7" s="138">
        <f>IF('Livre de paie'!$A7="","",PERIODE_DATE)</f>
        <v/>
      </c>
      <c r="AD7" s="82">
        <f>IF('Livre de paie'!$A7="","",'Livre de paie'!A7)</f>
        <v/>
      </c>
      <c r="AE7" s="82">
        <f>IF('Livre de paie'!$A7="","",'Livre de paie'!B7)</f>
        <v/>
      </c>
      <c r="AF7" s="82">
        <f>IF('Livre de paie'!$A7="","",'Livre de paie'!C7)</f>
        <v/>
      </c>
      <c r="AG7" s="83">
        <f>IF('Livre de paie'!$A7="","",'Livre de paie'!D7)</f>
        <v/>
      </c>
      <c r="AH7" s="83">
        <f>IF('Livre de paie'!$A7="","",'Livre de paie'!E7)</f>
        <v/>
      </c>
      <c r="AI7" s="83">
        <f>IF('Livre de paie'!$A7="","",'Livre de paie'!F7)</f>
        <v/>
      </c>
      <c r="AJ7" s="83">
        <f>IF('Livre de paie'!$A7="","",'Livre de paie'!G7)</f>
        <v/>
      </c>
      <c r="AK7" s="83">
        <f>IF('Livre de paie'!$A7="","",'Livre de paie'!H7)</f>
        <v/>
      </c>
      <c r="AL7" s="83">
        <f>IF('Livre de paie'!$A7="","",'Livre de paie'!I7)</f>
        <v/>
      </c>
      <c r="AM7" s="83">
        <f>IF('Livre de paie'!$A7="","",'Livre de paie'!J7)</f>
        <v/>
      </c>
      <c r="AN7" s="83">
        <f>IF('Livre de paie'!$A7="","",'Livre de paie'!K7)</f>
        <v/>
      </c>
      <c r="AO7" s="83">
        <f>IF('Livre de paie'!$A7="","",'Livre de paie'!L7)</f>
        <v/>
      </c>
      <c r="AP7" s="83">
        <f>IF('Livre de paie'!$A7="","",'Livre de paie'!M7)</f>
        <v/>
      </c>
      <c r="AQ7" s="83">
        <f>IF('Livre de paie'!$A7="","",'Livre de paie'!N7)</f>
        <v/>
      </c>
      <c r="AR7" s="83">
        <f>IF('Livre de paie'!$A7="","",'Livre de paie'!O7)</f>
        <v/>
      </c>
      <c r="AS7" s="83">
        <f>IF('Livre de paie'!$A7="","",'Livre de paie'!P7)</f>
        <v/>
      </c>
      <c r="AT7" s="83">
        <f>IF('Livre de paie'!$A7="","",'Livre de paie'!Q7)</f>
        <v/>
      </c>
      <c r="AU7" s="83">
        <f>IF('Livre de paie'!$A7="","",'Livre de paie'!R7)</f>
        <v/>
      </c>
      <c r="AV7" s="83">
        <f>IF('Livre de paie'!$A7="","",'Livre de paie'!S7)</f>
        <v/>
      </c>
      <c r="AW7" s="83">
        <f>IF('Livre de paie'!$A7="","",'Livre de paie'!U7)</f>
        <v/>
      </c>
      <c r="AX7" s="83">
        <f>IF('Livre de paie'!$A7="","",'Livre de paie'!Z7)</f>
        <v/>
      </c>
      <c r="AY7" s="83">
        <f>IF('Livre de paie'!$A7="","",'Livre de paie'!AA7)</f>
        <v/>
      </c>
      <c r="AZ7" s="83">
        <f>IF('Livre de paie'!$A7="","",'Livre de paie'!AB7)</f>
        <v/>
      </c>
      <c r="BA7" s="83">
        <f>IF('Livre de paie'!$A7="","",'Livre de paie'!AC7)</f>
        <v/>
      </c>
      <c r="BB7" s="83">
        <f>IF('Livre de paie'!$A7="","",'Livre de paie'!AD7)</f>
        <v/>
      </c>
      <c r="BC7" s="123">
        <f>IF('Livre de paie'!$A7="","",TODAY())</f>
        <v/>
      </c>
    </row>
    <row r="8" ht="15" customHeight="1" s="71">
      <c r="AC8" s="138">
        <f>IF('Livre de paie'!$A8="","",PERIODE_DATE)</f>
        <v/>
      </c>
      <c r="AD8" s="82">
        <f>IF('Livre de paie'!$A8="","",'Livre de paie'!A8)</f>
        <v/>
      </c>
      <c r="AE8" s="82">
        <f>IF('Livre de paie'!$A8="","",'Livre de paie'!B8)</f>
        <v/>
      </c>
      <c r="AF8" s="82">
        <f>IF('Livre de paie'!$A8="","",'Livre de paie'!C8)</f>
        <v/>
      </c>
      <c r="AG8" s="83">
        <f>IF('Livre de paie'!$A8="","",'Livre de paie'!D8)</f>
        <v/>
      </c>
      <c r="AH8" s="83">
        <f>IF('Livre de paie'!$A8="","",'Livre de paie'!E8)</f>
        <v/>
      </c>
      <c r="AI8" s="83">
        <f>IF('Livre de paie'!$A8="","",'Livre de paie'!F8)</f>
        <v/>
      </c>
      <c r="AJ8" s="83">
        <f>IF('Livre de paie'!$A8="","",'Livre de paie'!G8)</f>
        <v/>
      </c>
      <c r="AK8" s="83">
        <f>IF('Livre de paie'!$A8="","",'Livre de paie'!H8)</f>
        <v/>
      </c>
      <c r="AL8" s="83">
        <f>IF('Livre de paie'!$A8="","",'Livre de paie'!I8)</f>
        <v/>
      </c>
      <c r="AM8" s="83">
        <f>IF('Livre de paie'!$A8="","",'Livre de paie'!J8)</f>
        <v/>
      </c>
      <c r="AN8" s="83">
        <f>IF('Livre de paie'!$A8="","",'Livre de paie'!K8)</f>
        <v/>
      </c>
      <c r="AO8" s="83">
        <f>IF('Livre de paie'!$A8="","",'Livre de paie'!L8)</f>
        <v/>
      </c>
      <c r="AP8" s="83">
        <f>IF('Livre de paie'!$A8="","",'Livre de paie'!M8)</f>
        <v/>
      </c>
      <c r="AQ8" s="83">
        <f>IF('Livre de paie'!$A8="","",'Livre de paie'!N8)</f>
        <v/>
      </c>
      <c r="AR8" s="83">
        <f>IF('Livre de paie'!$A8="","",'Livre de paie'!O8)</f>
        <v/>
      </c>
      <c r="AS8" s="83">
        <f>IF('Livre de paie'!$A8="","",'Livre de paie'!P8)</f>
        <v/>
      </c>
      <c r="AT8" s="83">
        <f>IF('Livre de paie'!$A8="","",'Livre de paie'!Q8)</f>
        <v/>
      </c>
      <c r="AU8" s="83">
        <f>IF('Livre de paie'!$A8="","",'Livre de paie'!R8)</f>
        <v/>
      </c>
      <c r="AV8" s="83">
        <f>IF('Livre de paie'!$A8="","",'Livre de paie'!S8)</f>
        <v/>
      </c>
      <c r="AW8" s="83">
        <f>IF('Livre de paie'!$A8="","",'Livre de paie'!U8)</f>
        <v/>
      </c>
      <c r="AX8" s="83">
        <f>IF('Livre de paie'!$A8="","",'Livre de paie'!Z8)</f>
        <v/>
      </c>
      <c r="AY8" s="83">
        <f>IF('Livre de paie'!$A8="","",'Livre de paie'!AA8)</f>
        <v/>
      </c>
      <c r="AZ8" s="83">
        <f>IF('Livre de paie'!$A8="","",'Livre de paie'!AB8)</f>
        <v/>
      </c>
      <c r="BA8" s="83">
        <f>IF('Livre de paie'!$A8="","",'Livre de paie'!AC8)</f>
        <v/>
      </c>
      <c r="BB8" s="83">
        <f>IF('Livre de paie'!$A8="","",'Livre de paie'!AD8)</f>
        <v/>
      </c>
      <c r="BC8" s="123">
        <f>IF('Livre de paie'!$A8="","",TODAY())</f>
        <v/>
      </c>
    </row>
    <row r="9" ht="15" customHeight="1" s="71">
      <c r="AC9" s="138">
        <f>IF('Livre de paie'!$A9="","",PERIODE_DATE)</f>
        <v/>
      </c>
      <c r="AD9" s="82">
        <f>IF('Livre de paie'!$A9="","",'Livre de paie'!A9)</f>
        <v/>
      </c>
      <c r="AE9" s="82">
        <f>IF('Livre de paie'!$A9="","",'Livre de paie'!B9)</f>
        <v/>
      </c>
      <c r="AF9" s="82">
        <f>IF('Livre de paie'!$A9="","",'Livre de paie'!C9)</f>
        <v/>
      </c>
      <c r="AG9" s="83">
        <f>IF('Livre de paie'!$A9="","",'Livre de paie'!D9)</f>
        <v/>
      </c>
      <c r="AH9" s="83">
        <f>IF('Livre de paie'!$A9="","",'Livre de paie'!E9)</f>
        <v/>
      </c>
      <c r="AI9" s="83">
        <f>IF('Livre de paie'!$A9="","",'Livre de paie'!F9)</f>
        <v/>
      </c>
      <c r="AJ9" s="83">
        <f>IF('Livre de paie'!$A9="","",'Livre de paie'!G9)</f>
        <v/>
      </c>
      <c r="AK9" s="83">
        <f>IF('Livre de paie'!$A9="","",'Livre de paie'!H9)</f>
        <v/>
      </c>
      <c r="AL9" s="83">
        <f>IF('Livre de paie'!$A9="","",'Livre de paie'!I9)</f>
        <v/>
      </c>
      <c r="AM9" s="83">
        <f>IF('Livre de paie'!$A9="","",'Livre de paie'!J9)</f>
        <v/>
      </c>
      <c r="AN9" s="83">
        <f>IF('Livre de paie'!$A9="","",'Livre de paie'!K9)</f>
        <v/>
      </c>
      <c r="AO9" s="83">
        <f>IF('Livre de paie'!$A9="","",'Livre de paie'!L9)</f>
        <v/>
      </c>
      <c r="AP9" s="83">
        <f>IF('Livre de paie'!$A9="","",'Livre de paie'!M9)</f>
        <v/>
      </c>
      <c r="AQ9" s="83">
        <f>IF('Livre de paie'!$A9="","",'Livre de paie'!N9)</f>
        <v/>
      </c>
      <c r="AR9" s="83">
        <f>IF('Livre de paie'!$A9="","",'Livre de paie'!O9)</f>
        <v/>
      </c>
      <c r="AS9" s="83">
        <f>IF('Livre de paie'!$A9="","",'Livre de paie'!P9)</f>
        <v/>
      </c>
      <c r="AT9" s="83">
        <f>IF('Livre de paie'!$A9="","",'Livre de paie'!Q9)</f>
        <v/>
      </c>
      <c r="AU9" s="83">
        <f>IF('Livre de paie'!$A9="","",'Livre de paie'!R9)</f>
        <v/>
      </c>
      <c r="AV9" s="83">
        <f>IF('Livre de paie'!$A9="","",'Livre de paie'!S9)</f>
        <v/>
      </c>
      <c r="AW9" s="83">
        <f>IF('Livre de paie'!$A9="","",'Livre de paie'!U9)</f>
        <v/>
      </c>
      <c r="AX9" s="83">
        <f>IF('Livre de paie'!$A9="","",'Livre de paie'!Z9)</f>
        <v/>
      </c>
      <c r="AY9" s="83">
        <f>IF('Livre de paie'!$A9="","",'Livre de paie'!AA9)</f>
        <v/>
      </c>
      <c r="AZ9" s="83">
        <f>IF('Livre de paie'!$A9="","",'Livre de paie'!AB9)</f>
        <v/>
      </c>
      <c r="BA9" s="83">
        <f>IF('Livre de paie'!$A9="","",'Livre de paie'!AC9)</f>
        <v/>
      </c>
      <c r="BB9" s="83">
        <f>IF('Livre de paie'!$A9="","",'Livre de paie'!AD9)</f>
        <v/>
      </c>
      <c r="BC9" s="123">
        <f>IF('Livre de paie'!$A9="","",TODAY())</f>
        <v/>
      </c>
    </row>
    <row r="10" ht="15" customHeight="1" s="71">
      <c r="AC10" s="138">
        <f>IF('Livre de paie'!$A10="","",PERIODE_DATE)</f>
        <v/>
      </c>
      <c r="AD10" s="82">
        <f>IF('Livre de paie'!$A10="","",'Livre de paie'!A10)</f>
        <v/>
      </c>
      <c r="AE10" s="82">
        <f>IF('Livre de paie'!$A10="","",'Livre de paie'!B10)</f>
        <v/>
      </c>
      <c r="AF10" s="82">
        <f>IF('Livre de paie'!$A10="","",'Livre de paie'!C10)</f>
        <v/>
      </c>
      <c r="AG10" s="83">
        <f>IF('Livre de paie'!$A10="","",'Livre de paie'!D10)</f>
        <v/>
      </c>
      <c r="AH10" s="83">
        <f>IF('Livre de paie'!$A10="","",'Livre de paie'!E10)</f>
        <v/>
      </c>
      <c r="AI10" s="83">
        <f>IF('Livre de paie'!$A10="","",'Livre de paie'!F10)</f>
        <v/>
      </c>
      <c r="AJ10" s="83">
        <f>IF('Livre de paie'!$A10="","",'Livre de paie'!G10)</f>
        <v/>
      </c>
      <c r="AK10" s="83">
        <f>IF('Livre de paie'!$A10="","",'Livre de paie'!H10)</f>
        <v/>
      </c>
      <c r="AL10" s="83">
        <f>IF('Livre de paie'!$A10="","",'Livre de paie'!I10)</f>
        <v/>
      </c>
      <c r="AM10" s="83">
        <f>IF('Livre de paie'!$A10="","",'Livre de paie'!J10)</f>
        <v/>
      </c>
      <c r="AN10" s="83">
        <f>IF('Livre de paie'!$A10="","",'Livre de paie'!K10)</f>
        <v/>
      </c>
      <c r="AO10" s="83">
        <f>IF('Livre de paie'!$A10="","",'Livre de paie'!L10)</f>
        <v/>
      </c>
      <c r="AP10" s="83">
        <f>IF('Livre de paie'!$A10="","",'Livre de paie'!M10)</f>
        <v/>
      </c>
      <c r="AQ10" s="83">
        <f>IF('Livre de paie'!$A10="","",'Livre de paie'!N10)</f>
        <v/>
      </c>
      <c r="AR10" s="83">
        <f>IF('Livre de paie'!$A10="","",'Livre de paie'!O10)</f>
        <v/>
      </c>
      <c r="AS10" s="83">
        <f>IF('Livre de paie'!$A10="","",'Livre de paie'!P10)</f>
        <v/>
      </c>
      <c r="AT10" s="83">
        <f>IF('Livre de paie'!$A10="","",'Livre de paie'!Q10)</f>
        <v/>
      </c>
      <c r="AU10" s="83">
        <f>IF('Livre de paie'!$A10="","",'Livre de paie'!R10)</f>
        <v/>
      </c>
      <c r="AV10" s="83">
        <f>IF('Livre de paie'!$A10="","",'Livre de paie'!S10)</f>
        <v/>
      </c>
      <c r="AW10" s="83">
        <f>IF('Livre de paie'!$A10="","",'Livre de paie'!U10)</f>
        <v/>
      </c>
      <c r="AX10" s="83">
        <f>IF('Livre de paie'!$A10="","",'Livre de paie'!Z10)</f>
        <v/>
      </c>
      <c r="AY10" s="83">
        <f>IF('Livre de paie'!$A10="","",'Livre de paie'!AA10)</f>
        <v/>
      </c>
      <c r="AZ10" s="83">
        <f>IF('Livre de paie'!$A10="","",'Livre de paie'!AB10)</f>
        <v/>
      </c>
      <c r="BA10" s="83">
        <f>IF('Livre de paie'!$A10="","",'Livre de paie'!AC10)</f>
        <v/>
      </c>
      <c r="BB10" s="83">
        <f>IF('Livre de paie'!$A10="","",'Livre de paie'!AD10)</f>
        <v/>
      </c>
      <c r="BC10" s="123">
        <f>IF('Livre de paie'!$A10="","",TODAY())</f>
        <v/>
      </c>
    </row>
    <row r="11" ht="15" customHeight="1" s="71">
      <c r="AC11" s="138">
        <f>IF('Livre de paie'!$A11="","",PERIODE_DATE)</f>
        <v/>
      </c>
      <c r="AD11" s="82">
        <f>IF('Livre de paie'!$A11="","",'Livre de paie'!A11)</f>
        <v/>
      </c>
      <c r="AE11" s="82">
        <f>IF('Livre de paie'!$A11="","",'Livre de paie'!B11)</f>
        <v/>
      </c>
      <c r="AF11" s="82">
        <f>IF('Livre de paie'!$A11="","",'Livre de paie'!C11)</f>
        <v/>
      </c>
      <c r="AG11" s="83">
        <f>IF('Livre de paie'!$A11="","",'Livre de paie'!D11)</f>
        <v/>
      </c>
      <c r="AH11" s="83">
        <f>IF('Livre de paie'!$A11="","",'Livre de paie'!E11)</f>
        <v/>
      </c>
      <c r="AI11" s="83">
        <f>IF('Livre de paie'!$A11="","",'Livre de paie'!F11)</f>
        <v/>
      </c>
      <c r="AJ11" s="83">
        <f>IF('Livre de paie'!$A11="","",'Livre de paie'!G11)</f>
        <v/>
      </c>
      <c r="AK11" s="83">
        <f>IF('Livre de paie'!$A11="","",'Livre de paie'!H11)</f>
        <v/>
      </c>
      <c r="AL11" s="83">
        <f>IF('Livre de paie'!$A11="","",'Livre de paie'!I11)</f>
        <v/>
      </c>
      <c r="AM11" s="83">
        <f>IF('Livre de paie'!$A11="","",'Livre de paie'!J11)</f>
        <v/>
      </c>
      <c r="AN11" s="83">
        <f>IF('Livre de paie'!$A11="","",'Livre de paie'!K11)</f>
        <v/>
      </c>
      <c r="AO11" s="83">
        <f>IF('Livre de paie'!$A11="","",'Livre de paie'!L11)</f>
        <v/>
      </c>
      <c r="AP11" s="83">
        <f>IF('Livre de paie'!$A11="","",'Livre de paie'!M11)</f>
        <v/>
      </c>
      <c r="AQ11" s="83">
        <f>IF('Livre de paie'!$A11="","",'Livre de paie'!N11)</f>
        <v/>
      </c>
      <c r="AR11" s="83">
        <f>IF('Livre de paie'!$A11="","",'Livre de paie'!O11)</f>
        <v/>
      </c>
      <c r="AS11" s="83">
        <f>IF('Livre de paie'!$A11="","",'Livre de paie'!P11)</f>
        <v/>
      </c>
      <c r="AT11" s="83">
        <f>IF('Livre de paie'!$A11="","",'Livre de paie'!Q11)</f>
        <v/>
      </c>
      <c r="AU11" s="83">
        <f>IF('Livre de paie'!$A11="","",'Livre de paie'!R11)</f>
        <v/>
      </c>
      <c r="AV11" s="83">
        <f>IF('Livre de paie'!$A11="","",'Livre de paie'!S11)</f>
        <v/>
      </c>
      <c r="AW11" s="83">
        <f>IF('Livre de paie'!$A11="","",'Livre de paie'!U11)</f>
        <v/>
      </c>
      <c r="AX11" s="83">
        <f>IF('Livre de paie'!$A11="","",'Livre de paie'!Z11)</f>
        <v/>
      </c>
      <c r="AY11" s="83">
        <f>IF('Livre de paie'!$A11="","",'Livre de paie'!AA11)</f>
        <v/>
      </c>
      <c r="AZ11" s="83">
        <f>IF('Livre de paie'!$A11="","",'Livre de paie'!AB11)</f>
        <v/>
      </c>
      <c r="BA11" s="83">
        <f>IF('Livre de paie'!$A11="","",'Livre de paie'!AC11)</f>
        <v/>
      </c>
      <c r="BB11" s="83">
        <f>IF('Livre de paie'!$A11="","",'Livre de paie'!AD11)</f>
        <v/>
      </c>
      <c r="BC11" s="123">
        <f>IF('Livre de paie'!$A11="","",TODAY())</f>
        <v/>
      </c>
    </row>
    <row r="12" ht="15" customHeight="1" s="71">
      <c r="AC12" s="138">
        <f>IF('Livre de paie'!$A12="","",PERIODE_DATE)</f>
        <v/>
      </c>
      <c r="AD12" s="82">
        <f>IF('Livre de paie'!$A12="","",'Livre de paie'!A12)</f>
        <v/>
      </c>
      <c r="AE12" s="82">
        <f>IF('Livre de paie'!$A12="","",'Livre de paie'!B12)</f>
        <v/>
      </c>
      <c r="AF12" s="82">
        <f>IF('Livre de paie'!$A12="","",'Livre de paie'!C12)</f>
        <v/>
      </c>
      <c r="AG12" s="83">
        <f>IF('Livre de paie'!$A12="","",'Livre de paie'!D12)</f>
        <v/>
      </c>
      <c r="AH12" s="83">
        <f>IF('Livre de paie'!$A12="","",'Livre de paie'!E12)</f>
        <v/>
      </c>
      <c r="AI12" s="83">
        <f>IF('Livre de paie'!$A12="","",'Livre de paie'!F12)</f>
        <v/>
      </c>
      <c r="AJ12" s="83">
        <f>IF('Livre de paie'!$A12="","",'Livre de paie'!G12)</f>
        <v/>
      </c>
      <c r="AK12" s="83">
        <f>IF('Livre de paie'!$A12="","",'Livre de paie'!H12)</f>
        <v/>
      </c>
      <c r="AL12" s="83">
        <f>IF('Livre de paie'!$A12="","",'Livre de paie'!I12)</f>
        <v/>
      </c>
      <c r="AM12" s="83">
        <f>IF('Livre de paie'!$A12="","",'Livre de paie'!J12)</f>
        <v/>
      </c>
      <c r="AN12" s="83">
        <f>IF('Livre de paie'!$A12="","",'Livre de paie'!K12)</f>
        <v/>
      </c>
      <c r="AO12" s="83">
        <f>IF('Livre de paie'!$A12="","",'Livre de paie'!L12)</f>
        <v/>
      </c>
      <c r="AP12" s="83">
        <f>IF('Livre de paie'!$A12="","",'Livre de paie'!M12)</f>
        <v/>
      </c>
      <c r="AQ12" s="83">
        <f>IF('Livre de paie'!$A12="","",'Livre de paie'!N12)</f>
        <v/>
      </c>
      <c r="AR12" s="83">
        <f>IF('Livre de paie'!$A12="","",'Livre de paie'!O12)</f>
        <v/>
      </c>
      <c r="AS12" s="83">
        <f>IF('Livre de paie'!$A12="","",'Livre de paie'!P12)</f>
        <v/>
      </c>
      <c r="AT12" s="83">
        <f>IF('Livre de paie'!$A12="","",'Livre de paie'!Q12)</f>
        <v/>
      </c>
      <c r="AU12" s="83">
        <f>IF('Livre de paie'!$A12="","",'Livre de paie'!R12)</f>
        <v/>
      </c>
      <c r="AV12" s="83">
        <f>IF('Livre de paie'!$A12="","",'Livre de paie'!S12)</f>
        <v/>
      </c>
      <c r="AW12" s="83">
        <f>IF('Livre de paie'!$A12="","",'Livre de paie'!U12)</f>
        <v/>
      </c>
      <c r="AX12" s="83">
        <f>IF('Livre de paie'!$A12="","",'Livre de paie'!Z12)</f>
        <v/>
      </c>
      <c r="AY12" s="83">
        <f>IF('Livre de paie'!$A12="","",'Livre de paie'!AA12)</f>
        <v/>
      </c>
      <c r="AZ12" s="83">
        <f>IF('Livre de paie'!$A12="","",'Livre de paie'!AB12)</f>
        <v/>
      </c>
      <c r="BA12" s="83">
        <f>IF('Livre de paie'!$A12="","",'Livre de paie'!AC12)</f>
        <v/>
      </c>
      <c r="BB12" s="83">
        <f>IF('Livre de paie'!$A12="","",'Livre de paie'!AD12)</f>
        <v/>
      </c>
      <c r="BC12" s="123">
        <f>IF('Livre de paie'!$A12="","",TODAY())</f>
        <v/>
      </c>
    </row>
    <row r="13" ht="15" customHeight="1" s="71">
      <c r="AC13" s="138">
        <f>IF('Livre de paie'!$A13="","",PERIODE_DATE)</f>
        <v/>
      </c>
      <c r="AD13" s="82">
        <f>IF('Livre de paie'!$A13="","",'Livre de paie'!A13)</f>
        <v/>
      </c>
      <c r="AE13" s="82">
        <f>IF('Livre de paie'!$A13="","",'Livre de paie'!B13)</f>
        <v/>
      </c>
      <c r="AF13" s="82">
        <f>IF('Livre de paie'!$A13="","",'Livre de paie'!C13)</f>
        <v/>
      </c>
      <c r="AG13" s="83">
        <f>IF('Livre de paie'!$A13="","",'Livre de paie'!D13)</f>
        <v/>
      </c>
      <c r="AH13" s="83">
        <f>IF('Livre de paie'!$A13="","",'Livre de paie'!E13)</f>
        <v/>
      </c>
      <c r="AI13" s="83">
        <f>IF('Livre de paie'!$A13="","",'Livre de paie'!F13)</f>
        <v/>
      </c>
      <c r="AJ13" s="83">
        <f>IF('Livre de paie'!$A13="","",'Livre de paie'!G13)</f>
        <v/>
      </c>
      <c r="AK13" s="83">
        <f>IF('Livre de paie'!$A13="","",'Livre de paie'!H13)</f>
        <v/>
      </c>
      <c r="AL13" s="83">
        <f>IF('Livre de paie'!$A13="","",'Livre de paie'!I13)</f>
        <v/>
      </c>
      <c r="AM13" s="83">
        <f>IF('Livre de paie'!$A13="","",'Livre de paie'!J13)</f>
        <v/>
      </c>
      <c r="AN13" s="83">
        <f>IF('Livre de paie'!$A13="","",'Livre de paie'!K13)</f>
        <v/>
      </c>
      <c r="AO13" s="83">
        <f>IF('Livre de paie'!$A13="","",'Livre de paie'!L13)</f>
        <v/>
      </c>
      <c r="AP13" s="83">
        <f>IF('Livre de paie'!$A13="","",'Livre de paie'!M13)</f>
        <v/>
      </c>
      <c r="AQ13" s="83">
        <f>IF('Livre de paie'!$A13="","",'Livre de paie'!N13)</f>
        <v/>
      </c>
      <c r="AR13" s="83">
        <f>IF('Livre de paie'!$A13="","",'Livre de paie'!O13)</f>
        <v/>
      </c>
      <c r="AS13" s="83">
        <f>IF('Livre de paie'!$A13="","",'Livre de paie'!P13)</f>
        <v/>
      </c>
      <c r="AT13" s="83">
        <f>IF('Livre de paie'!$A13="","",'Livre de paie'!Q13)</f>
        <v/>
      </c>
      <c r="AU13" s="83">
        <f>IF('Livre de paie'!$A13="","",'Livre de paie'!R13)</f>
        <v/>
      </c>
      <c r="AV13" s="83">
        <f>IF('Livre de paie'!$A13="","",'Livre de paie'!S13)</f>
        <v/>
      </c>
      <c r="AW13" s="83">
        <f>IF('Livre de paie'!$A13="","",'Livre de paie'!U13)</f>
        <v/>
      </c>
      <c r="AX13" s="83">
        <f>IF('Livre de paie'!$A13="","",'Livre de paie'!Z13)</f>
        <v/>
      </c>
      <c r="AY13" s="83">
        <f>IF('Livre de paie'!$A13="","",'Livre de paie'!AA13)</f>
        <v/>
      </c>
      <c r="AZ13" s="83">
        <f>IF('Livre de paie'!$A13="","",'Livre de paie'!AB13)</f>
        <v/>
      </c>
      <c r="BA13" s="83">
        <f>IF('Livre de paie'!$A13="","",'Livre de paie'!AC13)</f>
        <v/>
      </c>
      <c r="BB13" s="83">
        <f>IF('Livre de paie'!$A13="","",'Livre de paie'!AD13)</f>
        <v/>
      </c>
      <c r="BC13" s="123">
        <f>IF('Livre de paie'!$A13="","",TODAY())</f>
        <v/>
      </c>
    </row>
    <row r="14" ht="15" customHeight="1" s="71">
      <c r="AC14" s="138">
        <f>IF('Livre de paie'!$A14="","",PERIODE_DATE)</f>
        <v/>
      </c>
      <c r="AD14" s="82">
        <f>IF('Livre de paie'!$A14="","",'Livre de paie'!A14)</f>
        <v/>
      </c>
      <c r="AE14" s="82">
        <f>IF('Livre de paie'!$A14="","",'Livre de paie'!B14)</f>
        <v/>
      </c>
      <c r="AF14" s="82">
        <f>IF('Livre de paie'!$A14="","",'Livre de paie'!C14)</f>
        <v/>
      </c>
      <c r="AG14" s="83">
        <f>IF('Livre de paie'!$A14="","",'Livre de paie'!D14)</f>
        <v/>
      </c>
      <c r="AH14" s="83">
        <f>IF('Livre de paie'!$A14="","",'Livre de paie'!E14)</f>
        <v/>
      </c>
      <c r="AI14" s="83">
        <f>IF('Livre de paie'!$A14="","",'Livre de paie'!F14)</f>
        <v/>
      </c>
      <c r="AJ14" s="83">
        <f>IF('Livre de paie'!$A14="","",'Livre de paie'!G14)</f>
        <v/>
      </c>
      <c r="AK14" s="83">
        <f>IF('Livre de paie'!$A14="","",'Livre de paie'!H14)</f>
        <v/>
      </c>
      <c r="AL14" s="83">
        <f>IF('Livre de paie'!$A14="","",'Livre de paie'!I14)</f>
        <v/>
      </c>
      <c r="AM14" s="83">
        <f>IF('Livre de paie'!$A14="","",'Livre de paie'!J14)</f>
        <v/>
      </c>
      <c r="AN14" s="83">
        <f>IF('Livre de paie'!$A14="","",'Livre de paie'!K14)</f>
        <v/>
      </c>
      <c r="AO14" s="83">
        <f>IF('Livre de paie'!$A14="","",'Livre de paie'!L14)</f>
        <v/>
      </c>
      <c r="AP14" s="83">
        <f>IF('Livre de paie'!$A14="","",'Livre de paie'!M14)</f>
        <v/>
      </c>
      <c r="AQ14" s="83">
        <f>IF('Livre de paie'!$A14="","",'Livre de paie'!N14)</f>
        <v/>
      </c>
      <c r="AR14" s="83">
        <f>IF('Livre de paie'!$A14="","",'Livre de paie'!O14)</f>
        <v/>
      </c>
      <c r="AS14" s="83">
        <f>IF('Livre de paie'!$A14="","",'Livre de paie'!P14)</f>
        <v/>
      </c>
      <c r="AT14" s="83">
        <f>IF('Livre de paie'!$A14="","",'Livre de paie'!Q14)</f>
        <v/>
      </c>
      <c r="AU14" s="83">
        <f>IF('Livre de paie'!$A14="","",'Livre de paie'!R14)</f>
        <v/>
      </c>
      <c r="AV14" s="83">
        <f>IF('Livre de paie'!$A14="","",'Livre de paie'!S14)</f>
        <v/>
      </c>
      <c r="AW14" s="83">
        <f>IF('Livre de paie'!$A14="","",'Livre de paie'!U14)</f>
        <v/>
      </c>
      <c r="AX14" s="83">
        <f>IF('Livre de paie'!$A14="","",'Livre de paie'!Z14)</f>
        <v/>
      </c>
      <c r="AY14" s="83">
        <f>IF('Livre de paie'!$A14="","",'Livre de paie'!AA14)</f>
        <v/>
      </c>
      <c r="AZ14" s="83">
        <f>IF('Livre de paie'!$A14="","",'Livre de paie'!AB14)</f>
        <v/>
      </c>
      <c r="BA14" s="83">
        <f>IF('Livre de paie'!$A14="","",'Livre de paie'!AC14)</f>
        <v/>
      </c>
      <c r="BB14" s="83">
        <f>IF('Livre de paie'!$A14="","",'Livre de paie'!AD14)</f>
        <v/>
      </c>
      <c r="BC14" s="123">
        <f>IF('Livre de paie'!$A14="","",TODAY())</f>
        <v/>
      </c>
    </row>
    <row r="15" ht="15" customHeight="1" s="71">
      <c r="AC15" s="138">
        <f>IF('Livre de paie'!$A15="","",PERIODE_DATE)</f>
        <v/>
      </c>
      <c r="AD15" s="82">
        <f>IF('Livre de paie'!$A15="","",'Livre de paie'!A15)</f>
        <v/>
      </c>
      <c r="AE15" s="82">
        <f>IF('Livre de paie'!$A15="","",'Livre de paie'!B15)</f>
        <v/>
      </c>
      <c r="AF15" s="82">
        <f>IF('Livre de paie'!$A15="","",'Livre de paie'!C15)</f>
        <v/>
      </c>
      <c r="AG15" s="83">
        <f>IF('Livre de paie'!$A15="","",'Livre de paie'!D15)</f>
        <v/>
      </c>
      <c r="AH15" s="83">
        <f>IF('Livre de paie'!$A15="","",'Livre de paie'!E15)</f>
        <v/>
      </c>
      <c r="AI15" s="83">
        <f>IF('Livre de paie'!$A15="","",'Livre de paie'!F15)</f>
        <v/>
      </c>
      <c r="AJ15" s="83">
        <f>IF('Livre de paie'!$A15="","",'Livre de paie'!G15)</f>
        <v/>
      </c>
      <c r="AK15" s="83">
        <f>IF('Livre de paie'!$A15="","",'Livre de paie'!H15)</f>
        <v/>
      </c>
      <c r="AL15" s="83">
        <f>IF('Livre de paie'!$A15="","",'Livre de paie'!I15)</f>
        <v/>
      </c>
      <c r="AM15" s="83">
        <f>IF('Livre de paie'!$A15="","",'Livre de paie'!J15)</f>
        <v/>
      </c>
      <c r="AN15" s="83">
        <f>IF('Livre de paie'!$A15="","",'Livre de paie'!K15)</f>
        <v/>
      </c>
      <c r="AO15" s="83">
        <f>IF('Livre de paie'!$A15="","",'Livre de paie'!L15)</f>
        <v/>
      </c>
      <c r="AP15" s="83">
        <f>IF('Livre de paie'!$A15="","",'Livre de paie'!M15)</f>
        <v/>
      </c>
      <c r="AQ15" s="83">
        <f>IF('Livre de paie'!$A15="","",'Livre de paie'!N15)</f>
        <v/>
      </c>
      <c r="AR15" s="83">
        <f>IF('Livre de paie'!$A15="","",'Livre de paie'!O15)</f>
        <v/>
      </c>
      <c r="AS15" s="83">
        <f>IF('Livre de paie'!$A15="","",'Livre de paie'!P15)</f>
        <v/>
      </c>
      <c r="AT15" s="83">
        <f>IF('Livre de paie'!$A15="","",'Livre de paie'!Q15)</f>
        <v/>
      </c>
      <c r="AU15" s="83">
        <f>IF('Livre de paie'!$A15="","",'Livre de paie'!R15)</f>
        <v/>
      </c>
      <c r="AV15" s="83">
        <f>IF('Livre de paie'!$A15="","",'Livre de paie'!S15)</f>
        <v/>
      </c>
      <c r="AW15" s="83">
        <f>IF('Livre de paie'!$A15="","",'Livre de paie'!U15)</f>
        <v/>
      </c>
      <c r="AX15" s="83">
        <f>IF('Livre de paie'!$A15="","",'Livre de paie'!Z15)</f>
        <v/>
      </c>
      <c r="AY15" s="83">
        <f>IF('Livre de paie'!$A15="","",'Livre de paie'!AA15)</f>
        <v/>
      </c>
      <c r="AZ15" s="83">
        <f>IF('Livre de paie'!$A15="","",'Livre de paie'!AB15)</f>
        <v/>
      </c>
      <c r="BA15" s="83">
        <f>IF('Livre de paie'!$A15="","",'Livre de paie'!AC15)</f>
        <v/>
      </c>
      <c r="BB15" s="83">
        <f>IF('Livre de paie'!$A15="","",'Livre de paie'!AD15)</f>
        <v/>
      </c>
      <c r="BC15" s="123">
        <f>IF('Livre de paie'!$A15="","",TODAY())</f>
        <v/>
      </c>
    </row>
    <row r="16" ht="15" customHeight="1" s="71">
      <c r="AC16" s="138">
        <f>IF('Livre de paie'!$A16="","",PERIODE_DATE)</f>
        <v/>
      </c>
      <c r="AD16" s="82">
        <f>IF('Livre de paie'!$A16="","",'Livre de paie'!A16)</f>
        <v/>
      </c>
      <c r="AE16" s="82">
        <f>IF('Livre de paie'!$A16="","",'Livre de paie'!B16)</f>
        <v/>
      </c>
      <c r="AF16" s="82">
        <f>IF('Livre de paie'!$A16="","",'Livre de paie'!C16)</f>
        <v/>
      </c>
      <c r="AG16" s="83">
        <f>IF('Livre de paie'!$A16="","",'Livre de paie'!D16)</f>
        <v/>
      </c>
      <c r="AH16" s="83">
        <f>IF('Livre de paie'!$A16="","",'Livre de paie'!E16)</f>
        <v/>
      </c>
      <c r="AI16" s="83">
        <f>IF('Livre de paie'!$A16="","",'Livre de paie'!F16)</f>
        <v/>
      </c>
      <c r="AJ16" s="83">
        <f>IF('Livre de paie'!$A16="","",'Livre de paie'!G16)</f>
        <v/>
      </c>
      <c r="AK16" s="83">
        <f>IF('Livre de paie'!$A16="","",'Livre de paie'!H16)</f>
        <v/>
      </c>
      <c r="AL16" s="83">
        <f>IF('Livre de paie'!$A16="","",'Livre de paie'!I16)</f>
        <v/>
      </c>
      <c r="AM16" s="83">
        <f>IF('Livre de paie'!$A16="","",'Livre de paie'!J16)</f>
        <v/>
      </c>
      <c r="AN16" s="83">
        <f>IF('Livre de paie'!$A16="","",'Livre de paie'!K16)</f>
        <v/>
      </c>
      <c r="AO16" s="83">
        <f>IF('Livre de paie'!$A16="","",'Livre de paie'!L16)</f>
        <v/>
      </c>
      <c r="AP16" s="83">
        <f>IF('Livre de paie'!$A16="","",'Livre de paie'!M16)</f>
        <v/>
      </c>
      <c r="AQ16" s="83">
        <f>IF('Livre de paie'!$A16="","",'Livre de paie'!N16)</f>
        <v/>
      </c>
      <c r="AR16" s="83">
        <f>IF('Livre de paie'!$A16="","",'Livre de paie'!O16)</f>
        <v/>
      </c>
      <c r="AS16" s="83">
        <f>IF('Livre de paie'!$A16="","",'Livre de paie'!P16)</f>
        <v/>
      </c>
      <c r="AT16" s="83">
        <f>IF('Livre de paie'!$A16="","",'Livre de paie'!Q16)</f>
        <v/>
      </c>
      <c r="AU16" s="83">
        <f>IF('Livre de paie'!$A16="","",'Livre de paie'!R16)</f>
        <v/>
      </c>
      <c r="AV16" s="83">
        <f>IF('Livre de paie'!$A16="","",'Livre de paie'!S16)</f>
        <v/>
      </c>
      <c r="AW16" s="83">
        <f>IF('Livre de paie'!$A16="","",'Livre de paie'!U16)</f>
        <v/>
      </c>
      <c r="AX16" s="83">
        <f>IF('Livre de paie'!$A16="","",'Livre de paie'!Z16)</f>
        <v/>
      </c>
      <c r="AY16" s="83">
        <f>IF('Livre de paie'!$A16="","",'Livre de paie'!AA16)</f>
        <v/>
      </c>
      <c r="AZ16" s="83">
        <f>IF('Livre de paie'!$A16="","",'Livre de paie'!AB16)</f>
        <v/>
      </c>
      <c r="BA16" s="83">
        <f>IF('Livre de paie'!$A16="","",'Livre de paie'!AC16)</f>
        <v/>
      </c>
      <c r="BB16" s="83">
        <f>IF('Livre de paie'!$A16="","",'Livre de paie'!AD16)</f>
        <v/>
      </c>
      <c r="BC16" s="123">
        <f>IF('Livre de paie'!$A16="","",TODAY())</f>
        <v/>
      </c>
    </row>
    <row r="17" ht="15" customHeight="1" s="71">
      <c r="AC17" s="138">
        <f>IF('Livre de paie'!$A17="","",PERIODE_DATE)</f>
        <v/>
      </c>
      <c r="AD17" s="82">
        <f>IF('Livre de paie'!$A17="","",'Livre de paie'!A17)</f>
        <v/>
      </c>
      <c r="AE17" s="82">
        <f>IF('Livre de paie'!$A17="","",'Livre de paie'!B17)</f>
        <v/>
      </c>
      <c r="AF17" s="82">
        <f>IF('Livre de paie'!$A17="","",'Livre de paie'!C17)</f>
        <v/>
      </c>
      <c r="AG17" s="83">
        <f>IF('Livre de paie'!$A17="","",'Livre de paie'!D17)</f>
        <v/>
      </c>
      <c r="AH17" s="83">
        <f>IF('Livre de paie'!$A17="","",'Livre de paie'!E17)</f>
        <v/>
      </c>
      <c r="AI17" s="83">
        <f>IF('Livre de paie'!$A17="","",'Livre de paie'!F17)</f>
        <v/>
      </c>
      <c r="AJ17" s="83">
        <f>IF('Livre de paie'!$A17="","",'Livre de paie'!G17)</f>
        <v/>
      </c>
      <c r="AK17" s="83">
        <f>IF('Livre de paie'!$A17="","",'Livre de paie'!H17)</f>
        <v/>
      </c>
      <c r="AL17" s="83">
        <f>IF('Livre de paie'!$A17="","",'Livre de paie'!I17)</f>
        <v/>
      </c>
      <c r="AM17" s="83">
        <f>IF('Livre de paie'!$A17="","",'Livre de paie'!J17)</f>
        <v/>
      </c>
      <c r="AN17" s="83">
        <f>IF('Livre de paie'!$A17="","",'Livre de paie'!K17)</f>
        <v/>
      </c>
      <c r="AO17" s="83">
        <f>IF('Livre de paie'!$A17="","",'Livre de paie'!L17)</f>
        <v/>
      </c>
      <c r="AP17" s="83">
        <f>IF('Livre de paie'!$A17="","",'Livre de paie'!M17)</f>
        <v/>
      </c>
      <c r="AQ17" s="83">
        <f>IF('Livre de paie'!$A17="","",'Livre de paie'!N17)</f>
        <v/>
      </c>
      <c r="AR17" s="83">
        <f>IF('Livre de paie'!$A17="","",'Livre de paie'!O17)</f>
        <v/>
      </c>
      <c r="AS17" s="83">
        <f>IF('Livre de paie'!$A17="","",'Livre de paie'!P17)</f>
        <v/>
      </c>
      <c r="AT17" s="83">
        <f>IF('Livre de paie'!$A17="","",'Livre de paie'!Q17)</f>
        <v/>
      </c>
      <c r="AU17" s="83">
        <f>IF('Livre de paie'!$A17="","",'Livre de paie'!R17)</f>
        <v/>
      </c>
      <c r="AV17" s="83">
        <f>IF('Livre de paie'!$A17="","",'Livre de paie'!S17)</f>
        <v/>
      </c>
      <c r="AW17" s="83">
        <f>IF('Livre de paie'!$A17="","",'Livre de paie'!U17)</f>
        <v/>
      </c>
      <c r="AX17" s="83">
        <f>IF('Livre de paie'!$A17="","",'Livre de paie'!Z17)</f>
        <v/>
      </c>
      <c r="AY17" s="83">
        <f>IF('Livre de paie'!$A17="","",'Livre de paie'!AA17)</f>
        <v/>
      </c>
      <c r="AZ17" s="83">
        <f>IF('Livre de paie'!$A17="","",'Livre de paie'!AB17)</f>
        <v/>
      </c>
      <c r="BA17" s="83">
        <f>IF('Livre de paie'!$A17="","",'Livre de paie'!AC17)</f>
        <v/>
      </c>
      <c r="BB17" s="83">
        <f>IF('Livre de paie'!$A17="","",'Livre de paie'!AD17)</f>
        <v/>
      </c>
      <c r="BC17" s="123">
        <f>IF('Livre de paie'!$A17="","",TODAY())</f>
        <v/>
      </c>
    </row>
    <row r="18" ht="15" customHeight="1" s="71">
      <c r="AC18" s="138">
        <f>IF('Livre de paie'!$A18="","",PERIODE_DATE)</f>
        <v/>
      </c>
      <c r="AD18" s="82">
        <f>IF('Livre de paie'!$A18="","",'Livre de paie'!A18)</f>
        <v/>
      </c>
      <c r="AE18" s="82">
        <f>IF('Livre de paie'!$A18="","",'Livre de paie'!B18)</f>
        <v/>
      </c>
      <c r="AF18" s="82">
        <f>IF('Livre de paie'!$A18="","",'Livre de paie'!C18)</f>
        <v/>
      </c>
      <c r="AG18" s="83">
        <f>IF('Livre de paie'!$A18="","",'Livre de paie'!D18)</f>
        <v/>
      </c>
      <c r="AH18" s="83">
        <f>IF('Livre de paie'!$A18="","",'Livre de paie'!E18)</f>
        <v/>
      </c>
      <c r="AI18" s="83">
        <f>IF('Livre de paie'!$A18="","",'Livre de paie'!F18)</f>
        <v/>
      </c>
      <c r="AJ18" s="83">
        <f>IF('Livre de paie'!$A18="","",'Livre de paie'!G18)</f>
        <v/>
      </c>
      <c r="AK18" s="83">
        <f>IF('Livre de paie'!$A18="","",'Livre de paie'!H18)</f>
        <v/>
      </c>
      <c r="AL18" s="83">
        <f>IF('Livre de paie'!$A18="","",'Livre de paie'!I18)</f>
        <v/>
      </c>
      <c r="AM18" s="83">
        <f>IF('Livre de paie'!$A18="","",'Livre de paie'!J18)</f>
        <v/>
      </c>
      <c r="AN18" s="83">
        <f>IF('Livre de paie'!$A18="","",'Livre de paie'!K18)</f>
        <v/>
      </c>
      <c r="AO18" s="83">
        <f>IF('Livre de paie'!$A18="","",'Livre de paie'!L18)</f>
        <v/>
      </c>
      <c r="AP18" s="83">
        <f>IF('Livre de paie'!$A18="","",'Livre de paie'!M18)</f>
        <v/>
      </c>
      <c r="AQ18" s="83">
        <f>IF('Livre de paie'!$A18="","",'Livre de paie'!N18)</f>
        <v/>
      </c>
      <c r="AR18" s="83">
        <f>IF('Livre de paie'!$A18="","",'Livre de paie'!O18)</f>
        <v/>
      </c>
      <c r="AS18" s="83">
        <f>IF('Livre de paie'!$A18="","",'Livre de paie'!P18)</f>
        <v/>
      </c>
      <c r="AT18" s="83">
        <f>IF('Livre de paie'!$A18="","",'Livre de paie'!Q18)</f>
        <v/>
      </c>
      <c r="AU18" s="83">
        <f>IF('Livre de paie'!$A18="","",'Livre de paie'!R18)</f>
        <v/>
      </c>
      <c r="AV18" s="83">
        <f>IF('Livre de paie'!$A18="","",'Livre de paie'!S18)</f>
        <v/>
      </c>
      <c r="AW18" s="83">
        <f>IF('Livre de paie'!$A18="","",'Livre de paie'!U18)</f>
        <v/>
      </c>
      <c r="AX18" s="83">
        <f>IF('Livre de paie'!$A18="","",'Livre de paie'!Z18)</f>
        <v/>
      </c>
      <c r="AY18" s="83">
        <f>IF('Livre de paie'!$A18="","",'Livre de paie'!AA18)</f>
        <v/>
      </c>
      <c r="AZ18" s="83">
        <f>IF('Livre de paie'!$A18="","",'Livre de paie'!AB18)</f>
        <v/>
      </c>
      <c r="BA18" s="83">
        <f>IF('Livre de paie'!$A18="","",'Livre de paie'!AC18)</f>
        <v/>
      </c>
      <c r="BB18" s="83">
        <f>IF('Livre de paie'!$A18="","",'Livre de paie'!AD18)</f>
        <v/>
      </c>
      <c r="BC18" s="123">
        <f>IF('Livre de paie'!$A18="","",TODAY())</f>
        <v/>
      </c>
    </row>
    <row r="19" ht="15" customHeight="1" s="71">
      <c r="AC19" s="138">
        <f>IF('Livre de paie'!$A19="","",PERIODE_DATE)</f>
        <v/>
      </c>
      <c r="AD19" s="82">
        <f>IF('Livre de paie'!$A19="","",'Livre de paie'!A19)</f>
        <v/>
      </c>
      <c r="AE19" s="82">
        <f>IF('Livre de paie'!$A19="","",'Livre de paie'!B19)</f>
        <v/>
      </c>
      <c r="AF19" s="82">
        <f>IF('Livre de paie'!$A19="","",'Livre de paie'!C19)</f>
        <v/>
      </c>
      <c r="AG19" s="83">
        <f>IF('Livre de paie'!$A19="","",'Livre de paie'!D19)</f>
        <v/>
      </c>
      <c r="AH19" s="83">
        <f>IF('Livre de paie'!$A19="","",'Livre de paie'!E19)</f>
        <v/>
      </c>
      <c r="AI19" s="83">
        <f>IF('Livre de paie'!$A19="","",'Livre de paie'!F19)</f>
        <v/>
      </c>
      <c r="AJ19" s="83">
        <f>IF('Livre de paie'!$A19="","",'Livre de paie'!G19)</f>
        <v/>
      </c>
      <c r="AK19" s="83">
        <f>IF('Livre de paie'!$A19="","",'Livre de paie'!H19)</f>
        <v/>
      </c>
      <c r="AL19" s="83">
        <f>IF('Livre de paie'!$A19="","",'Livre de paie'!I19)</f>
        <v/>
      </c>
      <c r="AM19" s="83">
        <f>IF('Livre de paie'!$A19="","",'Livre de paie'!J19)</f>
        <v/>
      </c>
      <c r="AN19" s="83">
        <f>IF('Livre de paie'!$A19="","",'Livre de paie'!K19)</f>
        <v/>
      </c>
      <c r="AO19" s="83">
        <f>IF('Livre de paie'!$A19="","",'Livre de paie'!L19)</f>
        <v/>
      </c>
      <c r="AP19" s="83">
        <f>IF('Livre de paie'!$A19="","",'Livre de paie'!M19)</f>
        <v/>
      </c>
      <c r="AQ19" s="83">
        <f>IF('Livre de paie'!$A19="","",'Livre de paie'!N19)</f>
        <v/>
      </c>
      <c r="AR19" s="83">
        <f>IF('Livre de paie'!$A19="","",'Livre de paie'!O19)</f>
        <v/>
      </c>
      <c r="AS19" s="83">
        <f>IF('Livre de paie'!$A19="","",'Livre de paie'!P19)</f>
        <v/>
      </c>
      <c r="AT19" s="83">
        <f>IF('Livre de paie'!$A19="","",'Livre de paie'!Q19)</f>
        <v/>
      </c>
      <c r="AU19" s="83">
        <f>IF('Livre de paie'!$A19="","",'Livre de paie'!R19)</f>
        <v/>
      </c>
      <c r="AV19" s="83">
        <f>IF('Livre de paie'!$A19="","",'Livre de paie'!S19)</f>
        <v/>
      </c>
      <c r="AW19" s="83">
        <f>IF('Livre de paie'!$A19="","",'Livre de paie'!U19)</f>
        <v/>
      </c>
      <c r="AX19" s="83">
        <f>IF('Livre de paie'!$A19="","",'Livre de paie'!Z19)</f>
        <v/>
      </c>
      <c r="AY19" s="83">
        <f>IF('Livre de paie'!$A19="","",'Livre de paie'!AA19)</f>
        <v/>
      </c>
      <c r="AZ19" s="83">
        <f>IF('Livre de paie'!$A19="","",'Livre de paie'!AB19)</f>
        <v/>
      </c>
      <c r="BA19" s="83">
        <f>IF('Livre de paie'!$A19="","",'Livre de paie'!AC19)</f>
        <v/>
      </c>
      <c r="BB19" s="83">
        <f>IF('Livre de paie'!$A19="","",'Livre de paie'!AD19)</f>
        <v/>
      </c>
      <c r="BC19" s="123">
        <f>IF('Livre de paie'!$A19="","",TODAY())</f>
        <v/>
      </c>
    </row>
    <row r="20" ht="15" customHeight="1" s="71">
      <c r="AC20" s="138">
        <f>IF('Livre de paie'!$A20="","",PERIODE_DATE)</f>
        <v/>
      </c>
      <c r="AD20" s="82">
        <f>IF('Livre de paie'!$A20="","",'Livre de paie'!A20)</f>
        <v/>
      </c>
      <c r="AE20" s="82">
        <f>IF('Livre de paie'!$A20="","",'Livre de paie'!B20)</f>
        <v/>
      </c>
      <c r="AF20" s="82">
        <f>IF('Livre de paie'!$A20="","",'Livre de paie'!C20)</f>
        <v/>
      </c>
      <c r="AG20" s="83">
        <f>IF('Livre de paie'!$A20="","",'Livre de paie'!D20)</f>
        <v/>
      </c>
      <c r="AH20" s="83">
        <f>IF('Livre de paie'!$A20="","",'Livre de paie'!E20)</f>
        <v/>
      </c>
      <c r="AI20" s="83">
        <f>IF('Livre de paie'!$A20="","",'Livre de paie'!F20)</f>
        <v/>
      </c>
      <c r="AJ20" s="83">
        <f>IF('Livre de paie'!$A20="","",'Livre de paie'!G20)</f>
        <v/>
      </c>
      <c r="AK20" s="83">
        <f>IF('Livre de paie'!$A20="","",'Livre de paie'!H20)</f>
        <v/>
      </c>
      <c r="AL20" s="83">
        <f>IF('Livre de paie'!$A20="","",'Livre de paie'!I20)</f>
        <v/>
      </c>
      <c r="AM20" s="83">
        <f>IF('Livre de paie'!$A20="","",'Livre de paie'!J20)</f>
        <v/>
      </c>
      <c r="AN20" s="83">
        <f>IF('Livre de paie'!$A20="","",'Livre de paie'!K20)</f>
        <v/>
      </c>
      <c r="AO20" s="83">
        <f>IF('Livre de paie'!$A20="","",'Livre de paie'!L20)</f>
        <v/>
      </c>
      <c r="AP20" s="83">
        <f>IF('Livre de paie'!$A20="","",'Livre de paie'!M20)</f>
        <v/>
      </c>
      <c r="AQ20" s="83">
        <f>IF('Livre de paie'!$A20="","",'Livre de paie'!N20)</f>
        <v/>
      </c>
      <c r="AR20" s="83">
        <f>IF('Livre de paie'!$A20="","",'Livre de paie'!O20)</f>
        <v/>
      </c>
      <c r="AS20" s="83">
        <f>IF('Livre de paie'!$A20="","",'Livre de paie'!P20)</f>
        <v/>
      </c>
      <c r="AT20" s="83">
        <f>IF('Livre de paie'!$A20="","",'Livre de paie'!Q20)</f>
        <v/>
      </c>
      <c r="AU20" s="83">
        <f>IF('Livre de paie'!$A20="","",'Livre de paie'!R20)</f>
        <v/>
      </c>
      <c r="AV20" s="83">
        <f>IF('Livre de paie'!$A20="","",'Livre de paie'!S20)</f>
        <v/>
      </c>
      <c r="AW20" s="83">
        <f>IF('Livre de paie'!$A20="","",'Livre de paie'!U20)</f>
        <v/>
      </c>
      <c r="AX20" s="83">
        <f>IF('Livre de paie'!$A20="","",'Livre de paie'!Z20)</f>
        <v/>
      </c>
      <c r="AY20" s="83">
        <f>IF('Livre de paie'!$A20="","",'Livre de paie'!AA20)</f>
        <v/>
      </c>
      <c r="AZ20" s="83">
        <f>IF('Livre de paie'!$A20="","",'Livre de paie'!AB20)</f>
        <v/>
      </c>
      <c r="BA20" s="83">
        <f>IF('Livre de paie'!$A20="","",'Livre de paie'!AC20)</f>
        <v/>
      </c>
      <c r="BB20" s="83">
        <f>IF('Livre de paie'!$A20="","",'Livre de paie'!AD20)</f>
        <v/>
      </c>
      <c r="BC20" s="123">
        <f>IF('Livre de paie'!$A20="","",TODAY())</f>
        <v/>
      </c>
    </row>
    <row r="21" ht="15" customHeight="1" s="71">
      <c r="AC21" s="138">
        <f>IF('Livre de paie'!$A21="","",PERIODE_DATE)</f>
        <v/>
      </c>
      <c r="AD21" s="82">
        <f>IF('Livre de paie'!$A21="","",'Livre de paie'!A21)</f>
        <v/>
      </c>
      <c r="AE21" s="82">
        <f>IF('Livre de paie'!$A21="","",'Livre de paie'!B21)</f>
        <v/>
      </c>
      <c r="AF21" s="82">
        <f>IF('Livre de paie'!$A21="","",'Livre de paie'!C21)</f>
        <v/>
      </c>
      <c r="AG21" s="83">
        <f>IF('Livre de paie'!$A21="","",'Livre de paie'!D21)</f>
        <v/>
      </c>
      <c r="AH21" s="83">
        <f>IF('Livre de paie'!$A21="","",'Livre de paie'!E21)</f>
        <v/>
      </c>
      <c r="AI21" s="83">
        <f>IF('Livre de paie'!$A21="","",'Livre de paie'!F21)</f>
        <v/>
      </c>
      <c r="AJ21" s="83">
        <f>IF('Livre de paie'!$A21="","",'Livre de paie'!G21)</f>
        <v/>
      </c>
      <c r="AK21" s="83">
        <f>IF('Livre de paie'!$A21="","",'Livre de paie'!H21)</f>
        <v/>
      </c>
      <c r="AL21" s="83">
        <f>IF('Livre de paie'!$A21="","",'Livre de paie'!I21)</f>
        <v/>
      </c>
      <c r="AM21" s="83">
        <f>IF('Livre de paie'!$A21="","",'Livre de paie'!J21)</f>
        <v/>
      </c>
      <c r="AN21" s="83">
        <f>IF('Livre de paie'!$A21="","",'Livre de paie'!K21)</f>
        <v/>
      </c>
      <c r="AO21" s="83">
        <f>IF('Livre de paie'!$A21="","",'Livre de paie'!L21)</f>
        <v/>
      </c>
      <c r="AP21" s="83">
        <f>IF('Livre de paie'!$A21="","",'Livre de paie'!M21)</f>
        <v/>
      </c>
      <c r="AQ21" s="83">
        <f>IF('Livre de paie'!$A21="","",'Livre de paie'!N21)</f>
        <v/>
      </c>
      <c r="AR21" s="83">
        <f>IF('Livre de paie'!$A21="","",'Livre de paie'!O21)</f>
        <v/>
      </c>
      <c r="AS21" s="83">
        <f>IF('Livre de paie'!$A21="","",'Livre de paie'!P21)</f>
        <v/>
      </c>
      <c r="AT21" s="83">
        <f>IF('Livre de paie'!$A21="","",'Livre de paie'!Q21)</f>
        <v/>
      </c>
      <c r="AU21" s="83">
        <f>IF('Livre de paie'!$A21="","",'Livre de paie'!R21)</f>
        <v/>
      </c>
      <c r="AV21" s="83">
        <f>IF('Livre de paie'!$A21="","",'Livre de paie'!S21)</f>
        <v/>
      </c>
      <c r="AW21" s="83">
        <f>IF('Livre de paie'!$A21="","",'Livre de paie'!U21)</f>
        <v/>
      </c>
      <c r="AX21" s="83">
        <f>IF('Livre de paie'!$A21="","",'Livre de paie'!Z21)</f>
        <v/>
      </c>
      <c r="AY21" s="83">
        <f>IF('Livre de paie'!$A21="","",'Livre de paie'!AA21)</f>
        <v/>
      </c>
      <c r="AZ21" s="83">
        <f>IF('Livre de paie'!$A21="","",'Livre de paie'!AB21)</f>
        <v/>
      </c>
      <c r="BA21" s="83">
        <f>IF('Livre de paie'!$A21="","",'Livre de paie'!AC21)</f>
        <v/>
      </c>
      <c r="BB21" s="83">
        <f>IF('Livre de paie'!$A21="","",'Livre de paie'!AD21)</f>
        <v/>
      </c>
      <c r="BC21" s="123">
        <f>IF('Livre de paie'!$A21="","",TODAY())</f>
        <v/>
      </c>
    </row>
    <row r="22" ht="15" customHeight="1" s="71">
      <c r="AC22" s="138">
        <f>IF('Livre de paie'!$A22="","",PERIODE_DATE)</f>
        <v/>
      </c>
      <c r="AD22" s="82">
        <f>IF('Livre de paie'!$A22="","",'Livre de paie'!A22)</f>
        <v/>
      </c>
      <c r="AE22" s="82">
        <f>IF('Livre de paie'!$A22="","",'Livre de paie'!B22)</f>
        <v/>
      </c>
      <c r="AF22" s="82">
        <f>IF('Livre de paie'!$A22="","",'Livre de paie'!C22)</f>
        <v/>
      </c>
      <c r="AG22" s="83">
        <f>IF('Livre de paie'!$A22="","",'Livre de paie'!D22)</f>
        <v/>
      </c>
      <c r="AH22" s="83">
        <f>IF('Livre de paie'!$A22="","",'Livre de paie'!E22)</f>
        <v/>
      </c>
      <c r="AI22" s="83">
        <f>IF('Livre de paie'!$A22="","",'Livre de paie'!F22)</f>
        <v/>
      </c>
      <c r="AJ22" s="83">
        <f>IF('Livre de paie'!$A22="","",'Livre de paie'!G22)</f>
        <v/>
      </c>
      <c r="AK22" s="83">
        <f>IF('Livre de paie'!$A22="","",'Livre de paie'!H22)</f>
        <v/>
      </c>
      <c r="AL22" s="83">
        <f>IF('Livre de paie'!$A22="","",'Livre de paie'!I22)</f>
        <v/>
      </c>
      <c r="AM22" s="83">
        <f>IF('Livre de paie'!$A22="","",'Livre de paie'!J22)</f>
        <v/>
      </c>
      <c r="AN22" s="83">
        <f>IF('Livre de paie'!$A22="","",'Livre de paie'!K22)</f>
        <v/>
      </c>
      <c r="AO22" s="83">
        <f>IF('Livre de paie'!$A22="","",'Livre de paie'!L22)</f>
        <v/>
      </c>
      <c r="AP22" s="83">
        <f>IF('Livre de paie'!$A22="","",'Livre de paie'!M22)</f>
        <v/>
      </c>
      <c r="AQ22" s="83">
        <f>IF('Livre de paie'!$A22="","",'Livre de paie'!N22)</f>
        <v/>
      </c>
      <c r="AR22" s="83">
        <f>IF('Livre de paie'!$A22="","",'Livre de paie'!O22)</f>
        <v/>
      </c>
      <c r="AS22" s="83">
        <f>IF('Livre de paie'!$A22="","",'Livre de paie'!P22)</f>
        <v/>
      </c>
      <c r="AT22" s="83">
        <f>IF('Livre de paie'!$A22="","",'Livre de paie'!Q22)</f>
        <v/>
      </c>
      <c r="AU22" s="83">
        <f>IF('Livre de paie'!$A22="","",'Livre de paie'!R22)</f>
        <v/>
      </c>
      <c r="AV22" s="83">
        <f>IF('Livre de paie'!$A22="","",'Livre de paie'!S22)</f>
        <v/>
      </c>
      <c r="AW22" s="83">
        <f>IF('Livre de paie'!$A22="","",'Livre de paie'!U22)</f>
        <v/>
      </c>
      <c r="AX22" s="83">
        <f>IF('Livre de paie'!$A22="","",'Livre de paie'!Z22)</f>
        <v/>
      </c>
      <c r="AY22" s="83">
        <f>IF('Livre de paie'!$A22="","",'Livre de paie'!AA22)</f>
        <v/>
      </c>
      <c r="AZ22" s="83">
        <f>IF('Livre de paie'!$A22="","",'Livre de paie'!AB22)</f>
        <v/>
      </c>
      <c r="BA22" s="83">
        <f>IF('Livre de paie'!$A22="","",'Livre de paie'!AC22)</f>
        <v/>
      </c>
      <c r="BB22" s="83">
        <f>IF('Livre de paie'!$A22="","",'Livre de paie'!AD22)</f>
        <v/>
      </c>
      <c r="BC22" s="123">
        <f>IF('Livre de paie'!$A22="","",TODAY())</f>
        <v/>
      </c>
    </row>
    <row r="23" ht="15" customHeight="1" s="71">
      <c r="AC23" s="138">
        <f>IF('Livre de paie'!$A23="","",PERIODE_DATE)</f>
        <v/>
      </c>
      <c r="AD23" s="82">
        <f>IF('Livre de paie'!$A23="","",'Livre de paie'!A23)</f>
        <v/>
      </c>
      <c r="AE23" s="82">
        <f>IF('Livre de paie'!$A23="","",'Livre de paie'!B23)</f>
        <v/>
      </c>
      <c r="AF23" s="82">
        <f>IF('Livre de paie'!$A23="","",'Livre de paie'!C23)</f>
        <v/>
      </c>
      <c r="AG23" s="83">
        <f>IF('Livre de paie'!$A23="","",'Livre de paie'!D23)</f>
        <v/>
      </c>
      <c r="AH23" s="83">
        <f>IF('Livre de paie'!$A23="","",'Livre de paie'!E23)</f>
        <v/>
      </c>
      <c r="AI23" s="83">
        <f>IF('Livre de paie'!$A23="","",'Livre de paie'!F23)</f>
        <v/>
      </c>
      <c r="AJ23" s="83">
        <f>IF('Livre de paie'!$A23="","",'Livre de paie'!G23)</f>
        <v/>
      </c>
      <c r="AK23" s="83">
        <f>IF('Livre de paie'!$A23="","",'Livre de paie'!H23)</f>
        <v/>
      </c>
      <c r="AL23" s="83">
        <f>IF('Livre de paie'!$A23="","",'Livre de paie'!I23)</f>
        <v/>
      </c>
      <c r="AM23" s="83">
        <f>IF('Livre de paie'!$A23="","",'Livre de paie'!J23)</f>
        <v/>
      </c>
      <c r="AN23" s="83">
        <f>IF('Livre de paie'!$A23="","",'Livre de paie'!K23)</f>
        <v/>
      </c>
      <c r="AO23" s="83">
        <f>IF('Livre de paie'!$A23="","",'Livre de paie'!L23)</f>
        <v/>
      </c>
      <c r="AP23" s="83">
        <f>IF('Livre de paie'!$A23="","",'Livre de paie'!M23)</f>
        <v/>
      </c>
      <c r="AQ23" s="83">
        <f>IF('Livre de paie'!$A23="","",'Livre de paie'!N23)</f>
        <v/>
      </c>
      <c r="AR23" s="83">
        <f>IF('Livre de paie'!$A23="","",'Livre de paie'!O23)</f>
        <v/>
      </c>
      <c r="AS23" s="83">
        <f>IF('Livre de paie'!$A23="","",'Livre de paie'!P23)</f>
        <v/>
      </c>
      <c r="AT23" s="83">
        <f>IF('Livre de paie'!$A23="","",'Livre de paie'!Q23)</f>
        <v/>
      </c>
      <c r="AU23" s="83">
        <f>IF('Livre de paie'!$A23="","",'Livre de paie'!R23)</f>
        <v/>
      </c>
      <c r="AV23" s="83">
        <f>IF('Livre de paie'!$A23="","",'Livre de paie'!S23)</f>
        <v/>
      </c>
      <c r="AW23" s="83">
        <f>IF('Livre de paie'!$A23="","",'Livre de paie'!U23)</f>
        <v/>
      </c>
      <c r="AX23" s="83">
        <f>IF('Livre de paie'!$A23="","",'Livre de paie'!Z23)</f>
        <v/>
      </c>
      <c r="AY23" s="83">
        <f>IF('Livre de paie'!$A23="","",'Livre de paie'!AA23)</f>
        <v/>
      </c>
      <c r="AZ23" s="83">
        <f>IF('Livre de paie'!$A23="","",'Livre de paie'!AB23)</f>
        <v/>
      </c>
      <c r="BA23" s="83">
        <f>IF('Livre de paie'!$A23="","",'Livre de paie'!AC23)</f>
        <v/>
      </c>
      <c r="BB23" s="83">
        <f>IF('Livre de paie'!$A23="","",'Livre de paie'!AD23)</f>
        <v/>
      </c>
      <c r="BC23" s="123">
        <f>IF('Livre de paie'!$A23="","",TODAY())</f>
        <v/>
      </c>
    </row>
    <row r="24" ht="15" customHeight="1" s="71">
      <c r="AC24" s="138">
        <f>IF('Livre de paie'!$A24="","",PERIODE_DATE)</f>
        <v/>
      </c>
      <c r="AD24" s="82">
        <f>IF('Livre de paie'!$A24="","",'Livre de paie'!A24)</f>
        <v/>
      </c>
      <c r="AE24" s="82">
        <f>IF('Livre de paie'!$A24="","",'Livre de paie'!B24)</f>
        <v/>
      </c>
      <c r="AF24" s="82">
        <f>IF('Livre de paie'!$A24="","",'Livre de paie'!C24)</f>
        <v/>
      </c>
      <c r="AG24" s="83">
        <f>IF('Livre de paie'!$A24="","",'Livre de paie'!D24)</f>
        <v/>
      </c>
      <c r="AH24" s="83">
        <f>IF('Livre de paie'!$A24="","",'Livre de paie'!E24)</f>
        <v/>
      </c>
      <c r="AI24" s="83">
        <f>IF('Livre de paie'!$A24="","",'Livre de paie'!F24)</f>
        <v/>
      </c>
      <c r="AJ24" s="83">
        <f>IF('Livre de paie'!$A24="","",'Livre de paie'!G24)</f>
        <v/>
      </c>
      <c r="AK24" s="83">
        <f>IF('Livre de paie'!$A24="","",'Livre de paie'!H24)</f>
        <v/>
      </c>
      <c r="AL24" s="83">
        <f>IF('Livre de paie'!$A24="","",'Livre de paie'!I24)</f>
        <v/>
      </c>
      <c r="AM24" s="83">
        <f>IF('Livre de paie'!$A24="","",'Livre de paie'!J24)</f>
        <v/>
      </c>
      <c r="AN24" s="83">
        <f>IF('Livre de paie'!$A24="","",'Livre de paie'!K24)</f>
        <v/>
      </c>
      <c r="AO24" s="83">
        <f>IF('Livre de paie'!$A24="","",'Livre de paie'!L24)</f>
        <v/>
      </c>
      <c r="AP24" s="83">
        <f>IF('Livre de paie'!$A24="","",'Livre de paie'!M24)</f>
        <v/>
      </c>
      <c r="AQ24" s="83">
        <f>IF('Livre de paie'!$A24="","",'Livre de paie'!N24)</f>
        <v/>
      </c>
      <c r="AR24" s="83">
        <f>IF('Livre de paie'!$A24="","",'Livre de paie'!O24)</f>
        <v/>
      </c>
      <c r="AS24" s="83">
        <f>IF('Livre de paie'!$A24="","",'Livre de paie'!P24)</f>
        <v/>
      </c>
      <c r="AT24" s="83">
        <f>IF('Livre de paie'!$A24="","",'Livre de paie'!Q24)</f>
        <v/>
      </c>
      <c r="AU24" s="83">
        <f>IF('Livre de paie'!$A24="","",'Livre de paie'!R24)</f>
        <v/>
      </c>
      <c r="AV24" s="83">
        <f>IF('Livre de paie'!$A24="","",'Livre de paie'!S24)</f>
        <v/>
      </c>
      <c r="AW24" s="83">
        <f>IF('Livre de paie'!$A24="","",'Livre de paie'!U24)</f>
        <v/>
      </c>
      <c r="AX24" s="83">
        <f>IF('Livre de paie'!$A24="","",'Livre de paie'!Z24)</f>
        <v/>
      </c>
      <c r="AY24" s="83">
        <f>IF('Livre de paie'!$A24="","",'Livre de paie'!AA24)</f>
        <v/>
      </c>
      <c r="AZ24" s="83">
        <f>IF('Livre de paie'!$A24="","",'Livre de paie'!AB24)</f>
        <v/>
      </c>
      <c r="BA24" s="83">
        <f>IF('Livre de paie'!$A24="","",'Livre de paie'!AC24)</f>
        <v/>
      </c>
      <c r="BB24" s="83">
        <f>IF('Livre de paie'!$A24="","",'Livre de paie'!AD24)</f>
        <v/>
      </c>
      <c r="BC24" s="123">
        <f>IF('Livre de paie'!$A24="","",TODAY())</f>
        <v/>
      </c>
    </row>
    <row r="25" ht="15" customHeight="1" s="71">
      <c r="AC25" s="138">
        <f>IF('Livre de paie'!$A25="","",PERIODE_DATE)</f>
        <v/>
      </c>
      <c r="AD25" s="82">
        <f>IF('Livre de paie'!$A25="","",'Livre de paie'!A25)</f>
        <v/>
      </c>
      <c r="AE25" s="82">
        <f>IF('Livre de paie'!$A25="","",'Livre de paie'!B25)</f>
        <v/>
      </c>
      <c r="AF25" s="82">
        <f>IF('Livre de paie'!$A25="","",'Livre de paie'!C25)</f>
        <v/>
      </c>
      <c r="AG25" s="83">
        <f>IF('Livre de paie'!$A25="","",'Livre de paie'!D25)</f>
        <v/>
      </c>
      <c r="AH25" s="83">
        <f>IF('Livre de paie'!$A25="","",'Livre de paie'!E25)</f>
        <v/>
      </c>
      <c r="AI25" s="83">
        <f>IF('Livre de paie'!$A25="","",'Livre de paie'!F25)</f>
        <v/>
      </c>
      <c r="AJ25" s="83">
        <f>IF('Livre de paie'!$A25="","",'Livre de paie'!G25)</f>
        <v/>
      </c>
      <c r="AK25" s="83">
        <f>IF('Livre de paie'!$A25="","",'Livre de paie'!H25)</f>
        <v/>
      </c>
      <c r="AL25" s="83">
        <f>IF('Livre de paie'!$A25="","",'Livre de paie'!I25)</f>
        <v/>
      </c>
      <c r="AM25" s="83">
        <f>IF('Livre de paie'!$A25="","",'Livre de paie'!J25)</f>
        <v/>
      </c>
      <c r="AN25" s="83">
        <f>IF('Livre de paie'!$A25="","",'Livre de paie'!K25)</f>
        <v/>
      </c>
      <c r="AO25" s="83">
        <f>IF('Livre de paie'!$A25="","",'Livre de paie'!L25)</f>
        <v/>
      </c>
      <c r="AP25" s="83">
        <f>IF('Livre de paie'!$A25="","",'Livre de paie'!M25)</f>
        <v/>
      </c>
      <c r="AQ25" s="83">
        <f>IF('Livre de paie'!$A25="","",'Livre de paie'!N25)</f>
        <v/>
      </c>
      <c r="AR25" s="83">
        <f>IF('Livre de paie'!$A25="","",'Livre de paie'!O25)</f>
        <v/>
      </c>
      <c r="AS25" s="83">
        <f>IF('Livre de paie'!$A25="","",'Livre de paie'!P25)</f>
        <v/>
      </c>
      <c r="AT25" s="83">
        <f>IF('Livre de paie'!$A25="","",'Livre de paie'!Q25)</f>
        <v/>
      </c>
      <c r="AU25" s="83">
        <f>IF('Livre de paie'!$A25="","",'Livre de paie'!R25)</f>
        <v/>
      </c>
      <c r="AV25" s="83">
        <f>IF('Livre de paie'!$A25="","",'Livre de paie'!S25)</f>
        <v/>
      </c>
      <c r="AW25" s="83">
        <f>IF('Livre de paie'!$A25="","",'Livre de paie'!U25)</f>
        <v/>
      </c>
      <c r="AX25" s="83">
        <f>IF('Livre de paie'!$A25="","",'Livre de paie'!Z25)</f>
        <v/>
      </c>
      <c r="AY25" s="83">
        <f>IF('Livre de paie'!$A25="","",'Livre de paie'!AA25)</f>
        <v/>
      </c>
      <c r="AZ25" s="83">
        <f>IF('Livre de paie'!$A25="","",'Livre de paie'!AB25)</f>
        <v/>
      </c>
      <c r="BA25" s="83">
        <f>IF('Livre de paie'!$A25="","",'Livre de paie'!AC25)</f>
        <v/>
      </c>
      <c r="BB25" s="83">
        <f>IF('Livre de paie'!$A25="","",'Livre de paie'!AD25)</f>
        <v/>
      </c>
      <c r="BC25" s="123">
        <f>IF('Livre de paie'!$A25="","",TODAY())</f>
        <v/>
      </c>
    </row>
    <row r="26" ht="15" customHeight="1" s="71">
      <c r="AC26" s="138">
        <f>IF('Livre de paie'!$A26="","",PERIODE_DATE)</f>
        <v/>
      </c>
      <c r="AD26" s="82">
        <f>IF('Livre de paie'!$A26="","",'Livre de paie'!A26)</f>
        <v/>
      </c>
      <c r="AE26" s="82">
        <f>IF('Livre de paie'!$A26="","",'Livre de paie'!B26)</f>
        <v/>
      </c>
      <c r="AF26" s="82">
        <f>IF('Livre de paie'!$A26="","",'Livre de paie'!C26)</f>
        <v/>
      </c>
      <c r="AG26" s="83">
        <f>IF('Livre de paie'!$A26="","",'Livre de paie'!D26)</f>
        <v/>
      </c>
      <c r="AH26" s="83">
        <f>IF('Livre de paie'!$A26="","",'Livre de paie'!E26)</f>
        <v/>
      </c>
      <c r="AI26" s="83">
        <f>IF('Livre de paie'!$A26="","",'Livre de paie'!F26)</f>
        <v/>
      </c>
      <c r="AJ26" s="83">
        <f>IF('Livre de paie'!$A26="","",'Livre de paie'!G26)</f>
        <v/>
      </c>
      <c r="AK26" s="83">
        <f>IF('Livre de paie'!$A26="","",'Livre de paie'!H26)</f>
        <v/>
      </c>
      <c r="AL26" s="83">
        <f>IF('Livre de paie'!$A26="","",'Livre de paie'!I26)</f>
        <v/>
      </c>
      <c r="AM26" s="83">
        <f>IF('Livre de paie'!$A26="","",'Livre de paie'!J26)</f>
        <v/>
      </c>
      <c r="AN26" s="83">
        <f>IF('Livre de paie'!$A26="","",'Livre de paie'!K26)</f>
        <v/>
      </c>
      <c r="AO26" s="83">
        <f>IF('Livre de paie'!$A26="","",'Livre de paie'!L26)</f>
        <v/>
      </c>
      <c r="AP26" s="83">
        <f>IF('Livre de paie'!$A26="","",'Livre de paie'!M26)</f>
        <v/>
      </c>
      <c r="AQ26" s="83">
        <f>IF('Livre de paie'!$A26="","",'Livre de paie'!N26)</f>
        <v/>
      </c>
      <c r="AR26" s="83">
        <f>IF('Livre de paie'!$A26="","",'Livre de paie'!O26)</f>
        <v/>
      </c>
      <c r="AS26" s="83">
        <f>IF('Livre de paie'!$A26="","",'Livre de paie'!P26)</f>
        <v/>
      </c>
      <c r="AT26" s="83">
        <f>IF('Livre de paie'!$A26="","",'Livre de paie'!Q26)</f>
        <v/>
      </c>
      <c r="AU26" s="83">
        <f>IF('Livre de paie'!$A26="","",'Livre de paie'!R26)</f>
        <v/>
      </c>
      <c r="AV26" s="83">
        <f>IF('Livre de paie'!$A26="","",'Livre de paie'!S26)</f>
        <v/>
      </c>
      <c r="AW26" s="83">
        <f>IF('Livre de paie'!$A26="","",'Livre de paie'!U26)</f>
        <v/>
      </c>
      <c r="AX26" s="83">
        <f>IF('Livre de paie'!$A26="","",'Livre de paie'!Z26)</f>
        <v/>
      </c>
      <c r="AY26" s="83">
        <f>IF('Livre de paie'!$A26="","",'Livre de paie'!AA26)</f>
        <v/>
      </c>
      <c r="AZ26" s="83">
        <f>IF('Livre de paie'!$A26="","",'Livre de paie'!AB26)</f>
        <v/>
      </c>
      <c r="BA26" s="83">
        <f>IF('Livre de paie'!$A26="","",'Livre de paie'!AC26)</f>
        <v/>
      </c>
      <c r="BB26" s="83">
        <f>IF('Livre de paie'!$A26="","",'Livre de paie'!AD26)</f>
        <v/>
      </c>
      <c r="BC26" s="123">
        <f>IF('Livre de paie'!$A26="","",TODAY())</f>
        <v/>
      </c>
    </row>
    <row r="27" ht="15" customHeight="1" s="71">
      <c r="AC27" s="138">
        <f>IF('Livre de paie'!$A27="","",PERIODE_DATE)</f>
        <v/>
      </c>
      <c r="AD27" s="82">
        <f>IF('Livre de paie'!$A27="","",'Livre de paie'!A27)</f>
        <v/>
      </c>
      <c r="AE27" s="82">
        <f>IF('Livre de paie'!$A27="","",'Livre de paie'!B27)</f>
        <v/>
      </c>
      <c r="AF27" s="82">
        <f>IF('Livre de paie'!$A27="","",'Livre de paie'!C27)</f>
        <v/>
      </c>
      <c r="AG27" s="83">
        <f>IF('Livre de paie'!$A27="","",'Livre de paie'!D27)</f>
        <v/>
      </c>
      <c r="AH27" s="83">
        <f>IF('Livre de paie'!$A27="","",'Livre de paie'!E27)</f>
        <v/>
      </c>
      <c r="AI27" s="83">
        <f>IF('Livre de paie'!$A27="","",'Livre de paie'!F27)</f>
        <v/>
      </c>
      <c r="AJ27" s="83">
        <f>IF('Livre de paie'!$A27="","",'Livre de paie'!G27)</f>
        <v/>
      </c>
      <c r="AK27" s="83">
        <f>IF('Livre de paie'!$A27="","",'Livre de paie'!H27)</f>
        <v/>
      </c>
      <c r="AL27" s="83">
        <f>IF('Livre de paie'!$A27="","",'Livre de paie'!I27)</f>
        <v/>
      </c>
      <c r="AM27" s="83">
        <f>IF('Livre de paie'!$A27="","",'Livre de paie'!J27)</f>
        <v/>
      </c>
      <c r="AN27" s="83">
        <f>IF('Livre de paie'!$A27="","",'Livre de paie'!K27)</f>
        <v/>
      </c>
      <c r="AO27" s="83">
        <f>IF('Livre de paie'!$A27="","",'Livre de paie'!L27)</f>
        <v/>
      </c>
      <c r="AP27" s="83">
        <f>IF('Livre de paie'!$A27="","",'Livre de paie'!M27)</f>
        <v/>
      </c>
      <c r="AQ27" s="83">
        <f>IF('Livre de paie'!$A27="","",'Livre de paie'!N27)</f>
        <v/>
      </c>
      <c r="AR27" s="83">
        <f>IF('Livre de paie'!$A27="","",'Livre de paie'!O27)</f>
        <v/>
      </c>
      <c r="AS27" s="83">
        <f>IF('Livre de paie'!$A27="","",'Livre de paie'!P27)</f>
        <v/>
      </c>
      <c r="AT27" s="83">
        <f>IF('Livre de paie'!$A27="","",'Livre de paie'!Q27)</f>
        <v/>
      </c>
      <c r="AU27" s="83">
        <f>IF('Livre de paie'!$A27="","",'Livre de paie'!R27)</f>
        <v/>
      </c>
      <c r="AV27" s="83">
        <f>IF('Livre de paie'!$A27="","",'Livre de paie'!S27)</f>
        <v/>
      </c>
      <c r="AW27" s="83">
        <f>IF('Livre de paie'!$A27="","",'Livre de paie'!U27)</f>
        <v/>
      </c>
      <c r="AX27" s="83">
        <f>IF('Livre de paie'!$A27="","",'Livre de paie'!Z27)</f>
        <v/>
      </c>
      <c r="AY27" s="83">
        <f>IF('Livre de paie'!$A27="","",'Livre de paie'!AA27)</f>
        <v/>
      </c>
      <c r="AZ27" s="83">
        <f>IF('Livre de paie'!$A27="","",'Livre de paie'!AB27)</f>
        <v/>
      </c>
      <c r="BA27" s="83">
        <f>IF('Livre de paie'!$A27="","",'Livre de paie'!AC27)</f>
        <v/>
      </c>
      <c r="BB27" s="83">
        <f>IF('Livre de paie'!$A27="","",'Livre de paie'!AD27)</f>
        <v/>
      </c>
      <c r="BC27" s="123">
        <f>IF('Livre de paie'!$A27="","",TODAY())</f>
        <v/>
      </c>
    </row>
    <row r="28" ht="15" customHeight="1" s="71">
      <c r="AC28" s="138">
        <f>IF('Livre de paie'!$A28="","",PERIODE_DATE)</f>
        <v/>
      </c>
      <c r="AD28" s="82">
        <f>IF('Livre de paie'!$A28="","",'Livre de paie'!A28)</f>
        <v/>
      </c>
      <c r="AE28" s="82">
        <f>IF('Livre de paie'!$A28="","",'Livre de paie'!B28)</f>
        <v/>
      </c>
      <c r="AF28" s="82">
        <f>IF('Livre de paie'!$A28="","",'Livre de paie'!C28)</f>
        <v/>
      </c>
      <c r="AG28" s="83">
        <f>IF('Livre de paie'!$A28="","",'Livre de paie'!D28)</f>
        <v/>
      </c>
      <c r="AH28" s="83">
        <f>IF('Livre de paie'!$A28="","",'Livre de paie'!E28)</f>
        <v/>
      </c>
      <c r="AI28" s="83">
        <f>IF('Livre de paie'!$A28="","",'Livre de paie'!F28)</f>
        <v/>
      </c>
      <c r="AJ28" s="83">
        <f>IF('Livre de paie'!$A28="","",'Livre de paie'!G28)</f>
        <v/>
      </c>
      <c r="AK28" s="83">
        <f>IF('Livre de paie'!$A28="","",'Livre de paie'!H28)</f>
        <v/>
      </c>
      <c r="AL28" s="83">
        <f>IF('Livre de paie'!$A28="","",'Livre de paie'!I28)</f>
        <v/>
      </c>
      <c r="AM28" s="83">
        <f>IF('Livre de paie'!$A28="","",'Livre de paie'!J28)</f>
        <v/>
      </c>
      <c r="AN28" s="83">
        <f>IF('Livre de paie'!$A28="","",'Livre de paie'!K28)</f>
        <v/>
      </c>
      <c r="AO28" s="83">
        <f>IF('Livre de paie'!$A28="","",'Livre de paie'!L28)</f>
        <v/>
      </c>
      <c r="AP28" s="83">
        <f>IF('Livre de paie'!$A28="","",'Livre de paie'!M28)</f>
        <v/>
      </c>
      <c r="AQ28" s="83">
        <f>IF('Livre de paie'!$A28="","",'Livre de paie'!N28)</f>
        <v/>
      </c>
      <c r="AR28" s="83">
        <f>IF('Livre de paie'!$A28="","",'Livre de paie'!O28)</f>
        <v/>
      </c>
      <c r="AS28" s="83">
        <f>IF('Livre de paie'!$A28="","",'Livre de paie'!P28)</f>
        <v/>
      </c>
      <c r="AT28" s="83">
        <f>IF('Livre de paie'!$A28="","",'Livre de paie'!Q28)</f>
        <v/>
      </c>
      <c r="AU28" s="83">
        <f>IF('Livre de paie'!$A28="","",'Livre de paie'!R28)</f>
        <v/>
      </c>
      <c r="AV28" s="83">
        <f>IF('Livre de paie'!$A28="","",'Livre de paie'!S28)</f>
        <v/>
      </c>
      <c r="AW28" s="83">
        <f>IF('Livre de paie'!$A28="","",'Livre de paie'!U28)</f>
        <v/>
      </c>
      <c r="AX28" s="83">
        <f>IF('Livre de paie'!$A28="","",'Livre de paie'!Z28)</f>
        <v/>
      </c>
      <c r="AY28" s="83">
        <f>IF('Livre de paie'!$A28="","",'Livre de paie'!AA28)</f>
        <v/>
      </c>
      <c r="AZ28" s="83">
        <f>IF('Livre de paie'!$A28="","",'Livre de paie'!AB28)</f>
        <v/>
      </c>
      <c r="BA28" s="83">
        <f>IF('Livre de paie'!$A28="","",'Livre de paie'!AC28)</f>
        <v/>
      </c>
      <c r="BB28" s="83">
        <f>IF('Livre de paie'!$A28="","",'Livre de paie'!AD28)</f>
        <v/>
      </c>
      <c r="BC28" s="123">
        <f>IF('Livre de paie'!$A28="","",TODAY())</f>
        <v/>
      </c>
    </row>
    <row r="29" ht="15" customHeight="1" s="71">
      <c r="AC29" s="138">
        <f>IF('Livre de paie'!$A29="","",PERIODE_DATE)</f>
        <v/>
      </c>
      <c r="AD29" s="82">
        <f>IF('Livre de paie'!$A29="","",'Livre de paie'!A29)</f>
        <v/>
      </c>
      <c r="AE29" s="82">
        <f>IF('Livre de paie'!$A29="","",'Livre de paie'!B29)</f>
        <v/>
      </c>
      <c r="AF29" s="82">
        <f>IF('Livre de paie'!$A29="","",'Livre de paie'!C29)</f>
        <v/>
      </c>
      <c r="AG29" s="83">
        <f>IF('Livre de paie'!$A29="","",'Livre de paie'!D29)</f>
        <v/>
      </c>
      <c r="AH29" s="83">
        <f>IF('Livre de paie'!$A29="","",'Livre de paie'!E29)</f>
        <v/>
      </c>
      <c r="AI29" s="83">
        <f>IF('Livre de paie'!$A29="","",'Livre de paie'!F29)</f>
        <v/>
      </c>
      <c r="AJ29" s="83">
        <f>IF('Livre de paie'!$A29="","",'Livre de paie'!G29)</f>
        <v/>
      </c>
      <c r="AK29" s="83">
        <f>IF('Livre de paie'!$A29="","",'Livre de paie'!H29)</f>
        <v/>
      </c>
      <c r="AL29" s="83">
        <f>IF('Livre de paie'!$A29="","",'Livre de paie'!I29)</f>
        <v/>
      </c>
      <c r="AM29" s="83">
        <f>IF('Livre de paie'!$A29="","",'Livre de paie'!J29)</f>
        <v/>
      </c>
      <c r="AN29" s="83">
        <f>IF('Livre de paie'!$A29="","",'Livre de paie'!K29)</f>
        <v/>
      </c>
      <c r="AO29" s="83">
        <f>IF('Livre de paie'!$A29="","",'Livre de paie'!L29)</f>
        <v/>
      </c>
      <c r="AP29" s="83">
        <f>IF('Livre de paie'!$A29="","",'Livre de paie'!M29)</f>
        <v/>
      </c>
      <c r="AQ29" s="83">
        <f>IF('Livre de paie'!$A29="","",'Livre de paie'!N29)</f>
        <v/>
      </c>
      <c r="AR29" s="83">
        <f>IF('Livre de paie'!$A29="","",'Livre de paie'!O29)</f>
        <v/>
      </c>
      <c r="AS29" s="83">
        <f>IF('Livre de paie'!$A29="","",'Livre de paie'!P29)</f>
        <v/>
      </c>
      <c r="AT29" s="83">
        <f>IF('Livre de paie'!$A29="","",'Livre de paie'!Q29)</f>
        <v/>
      </c>
      <c r="AU29" s="83">
        <f>IF('Livre de paie'!$A29="","",'Livre de paie'!R29)</f>
        <v/>
      </c>
      <c r="AV29" s="83">
        <f>IF('Livre de paie'!$A29="","",'Livre de paie'!S29)</f>
        <v/>
      </c>
      <c r="AW29" s="83">
        <f>IF('Livre de paie'!$A29="","",'Livre de paie'!U29)</f>
        <v/>
      </c>
      <c r="AX29" s="83">
        <f>IF('Livre de paie'!$A29="","",'Livre de paie'!Z29)</f>
        <v/>
      </c>
      <c r="AY29" s="83">
        <f>IF('Livre de paie'!$A29="","",'Livre de paie'!AA29)</f>
        <v/>
      </c>
      <c r="AZ29" s="83">
        <f>IF('Livre de paie'!$A29="","",'Livre de paie'!AB29)</f>
        <v/>
      </c>
      <c r="BA29" s="83">
        <f>IF('Livre de paie'!$A29="","",'Livre de paie'!AC29)</f>
        <v/>
      </c>
      <c r="BB29" s="83">
        <f>IF('Livre de paie'!$A29="","",'Livre de paie'!AD29)</f>
        <v/>
      </c>
      <c r="BC29" s="123">
        <f>IF('Livre de paie'!$A29="","",TODAY())</f>
        <v/>
      </c>
    </row>
    <row r="30" ht="15" customHeight="1" s="71">
      <c r="AC30" s="138">
        <f>IF('Livre de paie'!$A30="","",PERIODE_DATE)</f>
        <v/>
      </c>
      <c r="AD30" s="82">
        <f>IF('Livre de paie'!$A30="","",'Livre de paie'!A30)</f>
        <v/>
      </c>
      <c r="AE30" s="82">
        <f>IF('Livre de paie'!$A30="","",'Livre de paie'!B30)</f>
        <v/>
      </c>
      <c r="AF30" s="82">
        <f>IF('Livre de paie'!$A30="","",'Livre de paie'!C30)</f>
        <v/>
      </c>
      <c r="AG30" s="83">
        <f>IF('Livre de paie'!$A30="","",'Livre de paie'!D30)</f>
        <v/>
      </c>
      <c r="AH30" s="83">
        <f>IF('Livre de paie'!$A30="","",'Livre de paie'!E30)</f>
        <v/>
      </c>
      <c r="AI30" s="83">
        <f>IF('Livre de paie'!$A30="","",'Livre de paie'!F30)</f>
        <v/>
      </c>
      <c r="AJ30" s="83">
        <f>IF('Livre de paie'!$A30="","",'Livre de paie'!G30)</f>
        <v/>
      </c>
      <c r="AK30" s="83">
        <f>IF('Livre de paie'!$A30="","",'Livre de paie'!H30)</f>
        <v/>
      </c>
      <c r="AL30" s="83">
        <f>IF('Livre de paie'!$A30="","",'Livre de paie'!I30)</f>
        <v/>
      </c>
      <c r="AM30" s="83">
        <f>IF('Livre de paie'!$A30="","",'Livre de paie'!J30)</f>
        <v/>
      </c>
      <c r="AN30" s="83">
        <f>IF('Livre de paie'!$A30="","",'Livre de paie'!K30)</f>
        <v/>
      </c>
      <c r="AO30" s="83">
        <f>IF('Livre de paie'!$A30="","",'Livre de paie'!L30)</f>
        <v/>
      </c>
      <c r="AP30" s="83">
        <f>IF('Livre de paie'!$A30="","",'Livre de paie'!M30)</f>
        <v/>
      </c>
      <c r="AQ30" s="83">
        <f>IF('Livre de paie'!$A30="","",'Livre de paie'!N30)</f>
        <v/>
      </c>
      <c r="AR30" s="83">
        <f>IF('Livre de paie'!$A30="","",'Livre de paie'!O30)</f>
        <v/>
      </c>
      <c r="AS30" s="83">
        <f>IF('Livre de paie'!$A30="","",'Livre de paie'!P30)</f>
        <v/>
      </c>
      <c r="AT30" s="83">
        <f>IF('Livre de paie'!$A30="","",'Livre de paie'!Q30)</f>
        <v/>
      </c>
      <c r="AU30" s="83">
        <f>IF('Livre de paie'!$A30="","",'Livre de paie'!R30)</f>
        <v/>
      </c>
      <c r="AV30" s="83">
        <f>IF('Livre de paie'!$A30="","",'Livre de paie'!S30)</f>
        <v/>
      </c>
      <c r="AW30" s="83">
        <f>IF('Livre de paie'!$A30="","",'Livre de paie'!U30)</f>
        <v/>
      </c>
      <c r="AX30" s="83">
        <f>IF('Livre de paie'!$A30="","",'Livre de paie'!Z30)</f>
        <v/>
      </c>
      <c r="AY30" s="83">
        <f>IF('Livre de paie'!$A30="","",'Livre de paie'!AA30)</f>
        <v/>
      </c>
      <c r="AZ30" s="83">
        <f>IF('Livre de paie'!$A30="","",'Livre de paie'!AB30)</f>
        <v/>
      </c>
      <c r="BA30" s="83">
        <f>IF('Livre de paie'!$A30="","",'Livre de paie'!AC30)</f>
        <v/>
      </c>
      <c r="BB30" s="83">
        <f>IF('Livre de paie'!$A30="","",'Livre de paie'!AD30)</f>
        <v/>
      </c>
      <c r="BC30" s="123">
        <f>IF('Livre de paie'!$A30="","",TODAY())</f>
        <v/>
      </c>
    </row>
    <row r="31" ht="15" customHeight="1" s="71">
      <c r="AC31" s="138">
        <f>IF('Livre de paie'!$A31="","",PERIODE_DATE)</f>
        <v/>
      </c>
      <c r="AD31" s="82">
        <f>IF('Livre de paie'!$A31="","",'Livre de paie'!A31)</f>
        <v/>
      </c>
      <c r="AE31" s="82">
        <f>IF('Livre de paie'!$A31="","",'Livre de paie'!B31)</f>
        <v/>
      </c>
      <c r="AF31" s="82">
        <f>IF('Livre de paie'!$A31="","",'Livre de paie'!C31)</f>
        <v/>
      </c>
      <c r="AG31" s="83">
        <f>IF('Livre de paie'!$A31="","",'Livre de paie'!D31)</f>
        <v/>
      </c>
      <c r="AH31" s="83">
        <f>IF('Livre de paie'!$A31="","",'Livre de paie'!E31)</f>
        <v/>
      </c>
      <c r="AI31" s="83">
        <f>IF('Livre de paie'!$A31="","",'Livre de paie'!F31)</f>
        <v/>
      </c>
      <c r="AJ31" s="83">
        <f>IF('Livre de paie'!$A31="","",'Livre de paie'!G31)</f>
        <v/>
      </c>
      <c r="AK31" s="83">
        <f>IF('Livre de paie'!$A31="","",'Livre de paie'!H31)</f>
        <v/>
      </c>
      <c r="AL31" s="83">
        <f>IF('Livre de paie'!$A31="","",'Livre de paie'!I31)</f>
        <v/>
      </c>
      <c r="AM31" s="83">
        <f>IF('Livre de paie'!$A31="","",'Livre de paie'!J31)</f>
        <v/>
      </c>
      <c r="AN31" s="83">
        <f>IF('Livre de paie'!$A31="","",'Livre de paie'!K31)</f>
        <v/>
      </c>
      <c r="AO31" s="83">
        <f>IF('Livre de paie'!$A31="","",'Livre de paie'!L31)</f>
        <v/>
      </c>
      <c r="AP31" s="83">
        <f>IF('Livre de paie'!$A31="","",'Livre de paie'!M31)</f>
        <v/>
      </c>
      <c r="AQ31" s="83">
        <f>IF('Livre de paie'!$A31="","",'Livre de paie'!N31)</f>
        <v/>
      </c>
      <c r="AR31" s="83">
        <f>IF('Livre de paie'!$A31="","",'Livre de paie'!O31)</f>
        <v/>
      </c>
      <c r="AS31" s="83">
        <f>IF('Livre de paie'!$A31="","",'Livre de paie'!P31)</f>
        <v/>
      </c>
      <c r="AT31" s="83">
        <f>IF('Livre de paie'!$A31="","",'Livre de paie'!Q31)</f>
        <v/>
      </c>
      <c r="AU31" s="83">
        <f>IF('Livre de paie'!$A31="","",'Livre de paie'!R31)</f>
        <v/>
      </c>
      <c r="AV31" s="83">
        <f>IF('Livre de paie'!$A31="","",'Livre de paie'!S31)</f>
        <v/>
      </c>
      <c r="AW31" s="83">
        <f>IF('Livre de paie'!$A31="","",'Livre de paie'!U31)</f>
        <v/>
      </c>
      <c r="AX31" s="83">
        <f>IF('Livre de paie'!$A31="","",'Livre de paie'!Z31)</f>
        <v/>
      </c>
      <c r="AY31" s="83">
        <f>IF('Livre de paie'!$A31="","",'Livre de paie'!AA31)</f>
        <v/>
      </c>
      <c r="AZ31" s="83">
        <f>IF('Livre de paie'!$A31="","",'Livre de paie'!AB31)</f>
        <v/>
      </c>
      <c r="BA31" s="83">
        <f>IF('Livre de paie'!$A31="","",'Livre de paie'!AC31)</f>
        <v/>
      </c>
      <c r="BB31" s="83">
        <f>IF('Livre de paie'!$A31="","",'Livre de paie'!AD31)</f>
        <v/>
      </c>
      <c r="BC31" s="123">
        <f>IF('Livre de paie'!$A31="","",TODAY())</f>
        <v/>
      </c>
    </row>
    <row r="32" ht="15" customHeight="1" s="71">
      <c r="AC32" s="138">
        <f>IF('Livre de paie'!$A32="","",PERIODE_DATE)</f>
        <v/>
      </c>
      <c r="AD32" s="82">
        <f>IF('Livre de paie'!$A32="","",'Livre de paie'!A32)</f>
        <v/>
      </c>
      <c r="AE32" s="82">
        <f>IF('Livre de paie'!$A32="","",'Livre de paie'!B32)</f>
        <v/>
      </c>
      <c r="AF32" s="82">
        <f>IF('Livre de paie'!$A32="","",'Livre de paie'!C32)</f>
        <v/>
      </c>
      <c r="AG32" s="83">
        <f>IF('Livre de paie'!$A32="","",'Livre de paie'!D32)</f>
        <v/>
      </c>
      <c r="AH32" s="83">
        <f>IF('Livre de paie'!$A32="","",'Livre de paie'!E32)</f>
        <v/>
      </c>
      <c r="AI32" s="83">
        <f>IF('Livre de paie'!$A32="","",'Livre de paie'!F32)</f>
        <v/>
      </c>
      <c r="AJ32" s="83">
        <f>IF('Livre de paie'!$A32="","",'Livre de paie'!G32)</f>
        <v/>
      </c>
      <c r="AK32" s="83">
        <f>IF('Livre de paie'!$A32="","",'Livre de paie'!H32)</f>
        <v/>
      </c>
      <c r="AL32" s="83">
        <f>IF('Livre de paie'!$A32="","",'Livre de paie'!I32)</f>
        <v/>
      </c>
      <c r="AM32" s="83">
        <f>IF('Livre de paie'!$A32="","",'Livre de paie'!J32)</f>
        <v/>
      </c>
      <c r="AN32" s="83">
        <f>IF('Livre de paie'!$A32="","",'Livre de paie'!K32)</f>
        <v/>
      </c>
      <c r="AO32" s="83">
        <f>IF('Livre de paie'!$A32="","",'Livre de paie'!L32)</f>
        <v/>
      </c>
      <c r="AP32" s="83">
        <f>IF('Livre de paie'!$A32="","",'Livre de paie'!M32)</f>
        <v/>
      </c>
      <c r="AQ32" s="83">
        <f>IF('Livre de paie'!$A32="","",'Livre de paie'!N32)</f>
        <v/>
      </c>
      <c r="AR32" s="83">
        <f>IF('Livre de paie'!$A32="","",'Livre de paie'!O32)</f>
        <v/>
      </c>
      <c r="AS32" s="83">
        <f>IF('Livre de paie'!$A32="","",'Livre de paie'!P32)</f>
        <v/>
      </c>
      <c r="AT32" s="83">
        <f>IF('Livre de paie'!$A32="","",'Livre de paie'!Q32)</f>
        <v/>
      </c>
      <c r="AU32" s="83">
        <f>IF('Livre de paie'!$A32="","",'Livre de paie'!R32)</f>
        <v/>
      </c>
      <c r="AV32" s="83">
        <f>IF('Livre de paie'!$A32="","",'Livre de paie'!S32)</f>
        <v/>
      </c>
      <c r="AW32" s="83">
        <f>IF('Livre de paie'!$A32="","",'Livre de paie'!U32)</f>
        <v/>
      </c>
      <c r="AX32" s="83">
        <f>IF('Livre de paie'!$A32="","",'Livre de paie'!Z32)</f>
        <v/>
      </c>
      <c r="AY32" s="83">
        <f>IF('Livre de paie'!$A32="","",'Livre de paie'!AA32)</f>
        <v/>
      </c>
      <c r="AZ32" s="83">
        <f>IF('Livre de paie'!$A32="","",'Livre de paie'!AB32)</f>
        <v/>
      </c>
      <c r="BA32" s="83">
        <f>IF('Livre de paie'!$A32="","",'Livre de paie'!AC32)</f>
        <v/>
      </c>
      <c r="BB32" s="83">
        <f>IF('Livre de paie'!$A32="","",'Livre de paie'!AD32)</f>
        <v/>
      </c>
      <c r="BC32" s="123">
        <f>IF('Livre de paie'!$A32="","",TODAY())</f>
        <v/>
      </c>
    </row>
    <row r="33" ht="15" customHeight="1" s="71">
      <c r="AC33" s="138">
        <f>IF('Livre de paie'!$A33="","",PERIODE_DATE)</f>
        <v/>
      </c>
      <c r="AD33" s="82">
        <f>IF('Livre de paie'!$A33="","",'Livre de paie'!A33)</f>
        <v/>
      </c>
      <c r="AE33" s="82">
        <f>IF('Livre de paie'!$A33="","",'Livre de paie'!B33)</f>
        <v/>
      </c>
      <c r="AF33" s="82">
        <f>IF('Livre de paie'!$A33="","",'Livre de paie'!C33)</f>
        <v/>
      </c>
      <c r="AG33" s="83">
        <f>IF('Livre de paie'!$A33="","",'Livre de paie'!D33)</f>
        <v/>
      </c>
      <c r="AH33" s="83">
        <f>IF('Livre de paie'!$A33="","",'Livre de paie'!E33)</f>
        <v/>
      </c>
      <c r="AI33" s="83">
        <f>IF('Livre de paie'!$A33="","",'Livre de paie'!F33)</f>
        <v/>
      </c>
      <c r="AJ33" s="83">
        <f>IF('Livre de paie'!$A33="","",'Livre de paie'!G33)</f>
        <v/>
      </c>
      <c r="AK33" s="83">
        <f>IF('Livre de paie'!$A33="","",'Livre de paie'!H33)</f>
        <v/>
      </c>
      <c r="AL33" s="83">
        <f>IF('Livre de paie'!$A33="","",'Livre de paie'!I33)</f>
        <v/>
      </c>
      <c r="AM33" s="83">
        <f>IF('Livre de paie'!$A33="","",'Livre de paie'!J33)</f>
        <v/>
      </c>
      <c r="AN33" s="83">
        <f>IF('Livre de paie'!$A33="","",'Livre de paie'!K33)</f>
        <v/>
      </c>
      <c r="AO33" s="83">
        <f>IF('Livre de paie'!$A33="","",'Livre de paie'!L33)</f>
        <v/>
      </c>
      <c r="AP33" s="83">
        <f>IF('Livre de paie'!$A33="","",'Livre de paie'!M33)</f>
        <v/>
      </c>
      <c r="AQ33" s="83">
        <f>IF('Livre de paie'!$A33="","",'Livre de paie'!N33)</f>
        <v/>
      </c>
      <c r="AR33" s="83">
        <f>IF('Livre de paie'!$A33="","",'Livre de paie'!O33)</f>
        <v/>
      </c>
      <c r="AS33" s="83">
        <f>IF('Livre de paie'!$A33="","",'Livre de paie'!P33)</f>
        <v/>
      </c>
      <c r="AT33" s="83">
        <f>IF('Livre de paie'!$A33="","",'Livre de paie'!Q33)</f>
        <v/>
      </c>
      <c r="AU33" s="83">
        <f>IF('Livre de paie'!$A33="","",'Livre de paie'!R33)</f>
        <v/>
      </c>
      <c r="AV33" s="83">
        <f>IF('Livre de paie'!$A33="","",'Livre de paie'!S33)</f>
        <v/>
      </c>
      <c r="AW33" s="83">
        <f>IF('Livre de paie'!$A33="","",'Livre de paie'!U33)</f>
        <v/>
      </c>
      <c r="AX33" s="83">
        <f>IF('Livre de paie'!$A33="","",'Livre de paie'!Z33)</f>
        <v/>
      </c>
      <c r="AY33" s="83">
        <f>IF('Livre de paie'!$A33="","",'Livre de paie'!AA33)</f>
        <v/>
      </c>
      <c r="AZ33" s="83">
        <f>IF('Livre de paie'!$A33="","",'Livre de paie'!AB33)</f>
        <v/>
      </c>
      <c r="BA33" s="83">
        <f>IF('Livre de paie'!$A33="","",'Livre de paie'!AC33)</f>
        <v/>
      </c>
      <c r="BB33" s="83">
        <f>IF('Livre de paie'!$A33="","",'Livre de paie'!AD33)</f>
        <v/>
      </c>
      <c r="BC33" s="123">
        <f>IF('Livre de paie'!$A33="","",TODAY())</f>
        <v/>
      </c>
    </row>
    <row r="34" ht="15" customHeight="1" s="71">
      <c r="AC34" s="138">
        <f>IF('Livre de paie'!$A34="","",PERIODE_DATE)</f>
        <v/>
      </c>
      <c r="AD34" s="82">
        <f>IF('Livre de paie'!$A34="","",'Livre de paie'!A34)</f>
        <v/>
      </c>
      <c r="AE34" s="82">
        <f>IF('Livre de paie'!$A34="","",'Livre de paie'!B34)</f>
        <v/>
      </c>
      <c r="AF34" s="82">
        <f>IF('Livre de paie'!$A34="","",'Livre de paie'!C34)</f>
        <v/>
      </c>
      <c r="AG34" s="83">
        <f>IF('Livre de paie'!$A34="","",'Livre de paie'!D34)</f>
        <v/>
      </c>
      <c r="AH34" s="83">
        <f>IF('Livre de paie'!$A34="","",'Livre de paie'!E34)</f>
        <v/>
      </c>
      <c r="AI34" s="83">
        <f>IF('Livre de paie'!$A34="","",'Livre de paie'!F34)</f>
        <v/>
      </c>
      <c r="AJ34" s="83">
        <f>IF('Livre de paie'!$A34="","",'Livre de paie'!G34)</f>
        <v/>
      </c>
      <c r="AK34" s="83">
        <f>IF('Livre de paie'!$A34="","",'Livre de paie'!H34)</f>
        <v/>
      </c>
      <c r="AL34" s="83">
        <f>IF('Livre de paie'!$A34="","",'Livre de paie'!I34)</f>
        <v/>
      </c>
      <c r="AM34" s="83">
        <f>IF('Livre de paie'!$A34="","",'Livre de paie'!J34)</f>
        <v/>
      </c>
      <c r="AN34" s="83">
        <f>IF('Livre de paie'!$A34="","",'Livre de paie'!K34)</f>
        <v/>
      </c>
      <c r="AO34" s="83">
        <f>IF('Livre de paie'!$A34="","",'Livre de paie'!L34)</f>
        <v/>
      </c>
      <c r="AP34" s="83">
        <f>IF('Livre de paie'!$A34="","",'Livre de paie'!M34)</f>
        <v/>
      </c>
      <c r="AQ34" s="83">
        <f>IF('Livre de paie'!$A34="","",'Livre de paie'!N34)</f>
        <v/>
      </c>
      <c r="AR34" s="83">
        <f>IF('Livre de paie'!$A34="","",'Livre de paie'!O34)</f>
        <v/>
      </c>
      <c r="AS34" s="83">
        <f>IF('Livre de paie'!$A34="","",'Livre de paie'!P34)</f>
        <v/>
      </c>
      <c r="AT34" s="83">
        <f>IF('Livre de paie'!$A34="","",'Livre de paie'!Q34)</f>
        <v/>
      </c>
      <c r="AU34" s="83">
        <f>IF('Livre de paie'!$A34="","",'Livre de paie'!R34)</f>
        <v/>
      </c>
      <c r="AV34" s="83">
        <f>IF('Livre de paie'!$A34="","",'Livre de paie'!S34)</f>
        <v/>
      </c>
      <c r="AW34" s="83">
        <f>IF('Livre de paie'!$A34="","",'Livre de paie'!U34)</f>
        <v/>
      </c>
      <c r="AX34" s="83">
        <f>IF('Livre de paie'!$A34="","",'Livre de paie'!Z34)</f>
        <v/>
      </c>
      <c r="AY34" s="83">
        <f>IF('Livre de paie'!$A34="","",'Livre de paie'!AA34)</f>
        <v/>
      </c>
      <c r="AZ34" s="83">
        <f>IF('Livre de paie'!$A34="","",'Livre de paie'!AB34)</f>
        <v/>
      </c>
      <c r="BA34" s="83">
        <f>IF('Livre de paie'!$A34="","",'Livre de paie'!AC34)</f>
        <v/>
      </c>
      <c r="BB34" s="83">
        <f>IF('Livre de paie'!$A34="","",'Livre de paie'!AD34)</f>
        <v/>
      </c>
      <c r="BC34" s="123">
        <f>IF('Livre de paie'!$A34="","",TODAY())</f>
        <v/>
      </c>
    </row>
    <row r="35" ht="15" customHeight="1" s="71">
      <c r="AC35" s="138">
        <f>IF('Livre de paie'!$A35="","",PERIODE_DATE)</f>
        <v/>
      </c>
      <c r="AD35" s="82">
        <f>IF('Livre de paie'!$A35="","",'Livre de paie'!A35)</f>
        <v/>
      </c>
      <c r="AE35" s="82">
        <f>IF('Livre de paie'!$A35="","",'Livre de paie'!B35)</f>
        <v/>
      </c>
      <c r="AF35" s="82">
        <f>IF('Livre de paie'!$A35="","",'Livre de paie'!C35)</f>
        <v/>
      </c>
      <c r="AG35" s="83">
        <f>IF('Livre de paie'!$A35="","",'Livre de paie'!D35)</f>
        <v/>
      </c>
      <c r="AH35" s="83">
        <f>IF('Livre de paie'!$A35="","",'Livre de paie'!E35)</f>
        <v/>
      </c>
      <c r="AI35" s="83">
        <f>IF('Livre de paie'!$A35="","",'Livre de paie'!F35)</f>
        <v/>
      </c>
      <c r="AJ35" s="83">
        <f>IF('Livre de paie'!$A35="","",'Livre de paie'!G35)</f>
        <v/>
      </c>
      <c r="AK35" s="83">
        <f>IF('Livre de paie'!$A35="","",'Livre de paie'!H35)</f>
        <v/>
      </c>
      <c r="AL35" s="83">
        <f>IF('Livre de paie'!$A35="","",'Livre de paie'!I35)</f>
        <v/>
      </c>
      <c r="AM35" s="83">
        <f>IF('Livre de paie'!$A35="","",'Livre de paie'!J35)</f>
        <v/>
      </c>
      <c r="AN35" s="83">
        <f>IF('Livre de paie'!$A35="","",'Livre de paie'!K35)</f>
        <v/>
      </c>
      <c r="AO35" s="83">
        <f>IF('Livre de paie'!$A35="","",'Livre de paie'!L35)</f>
        <v/>
      </c>
      <c r="AP35" s="83">
        <f>IF('Livre de paie'!$A35="","",'Livre de paie'!M35)</f>
        <v/>
      </c>
      <c r="AQ35" s="83">
        <f>IF('Livre de paie'!$A35="","",'Livre de paie'!N35)</f>
        <v/>
      </c>
      <c r="AR35" s="83">
        <f>IF('Livre de paie'!$A35="","",'Livre de paie'!O35)</f>
        <v/>
      </c>
      <c r="AS35" s="83">
        <f>IF('Livre de paie'!$A35="","",'Livre de paie'!P35)</f>
        <v/>
      </c>
      <c r="AT35" s="83">
        <f>IF('Livre de paie'!$A35="","",'Livre de paie'!Q35)</f>
        <v/>
      </c>
      <c r="AU35" s="83">
        <f>IF('Livre de paie'!$A35="","",'Livre de paie'!R35)</f>
        <v/>
      </c>
      <c r="AV35" s="83">
        <f>IF('Livre de paie'!$A35="","",'Livre de paie'!S35)</f>
        <v/>
      </c>
      <c r="AW35" s="83">
        <f>IF('Livre de paie'!$A35="","",'Livre de paie'!U35)</f>
        <v/>
      </c>
      <c r="AX35" s="83">
        <f>IF('Livre de paie'!$A35="","",'Livre de paie'!Z35)</f>
        <v/>
      </c>
      <c r="AY35" s="83">
        <f>IF('Livre de paie'!$A35="","",'Livre de paie'!AA35)</f>
        <v/>
      </c>
      <c r="AZ35" s="83">
        <f>IF('Livre de paie'!$A35="","",'Livre de paie'!AB35)</f>
        <v/>
      </c>
      <c r="BA35" s="83">
        <f>IF('Livre de paie'!$A35="","",'Livre de paie'!AC35)</f>
        <v/>
      </c>
      <c r="BB35" s="83">
        <f>IF('Livre de paie'!$A35="","",'Livre de paie'!AD35)</f>
        <v/>
      </c>
      <c r="BC35" s="123">
        <f>IF('Livre de paie'!$A35="","",TODAY())</f>
        <v/>
      </c>
    </row>
    <row r="36" ht="15" customHeight="1" s="71">
      <c r="AC36" s="138">
        <f>IF('Livre de paie'!$A36="","",PERIODE_DATE)</f>
        <v/>
      </c>
      <c r="AD36" s="82">
        <f>IF('Livre de paie'!$A36="","",'Livre de paie'!A36)</f>
        <v/>
      </c>
      <c r="AE36" s="82">
        <f>IF('Livre de paie'!$A36="","",'Livre de paie'!B36)</f>
        <v/>
      </c>
      <c r="AF36" s="82">
        <f>IF('Livre de paie'!$A36="","",'Livre de paie'!C36)</f>
        <v/>
      </c>
      <c r="AG36" s="83">
        <f>IF('Livre de paie'!$A36="","",'Livre de paie'!D36)</f>
        <v/>
      </c>
      <c r="AH36" s="83">
        <f>IF('Livre de paie'!$A36="","",'Livre de paie'!E36)</f>
        <v/>
      </c>
      <c r="AI36" s="83">
        <f>IF('Livre de paie'!$A36="","",'Livre de paie'!F36)</f>
        <v/>
      </c>
      <c r="AJ36" s="83">
        <f>IF('Livre de paie'!$A36="","",'Livre de paie'!G36)</f>
        <v/>
      </c>
      <c r="AK36" s="83">
        <f>IF('Livre de paie'!$A36="","",'Livre de paie'!H36)</f>
        <v/>
      </c>
      <c r="AL36" s="83">
        <f>IF('Livre de paie'!$A36="","",'Livre de paie'!I36)</f>
        <v/>
      </c>
      <c r="AM36" s="83">
        <f>IF('Livre de paie'!$A36="","",'Livre de paie'!J36)</f>
        <v/>
      </c>
      <c r="AN36" s="83">
        <f>IF('Livre de paie'!$A36="","",'Livre de paie'!K36)</f>
        <v/>
      </c>
      <c r="AO36" s="83">
        <f>IF('Livre de paie'!$A36="","",'Livre de paie'!L36)</f>
        <v/>
      </c>
      <c r="AP36" s="83">
        <f>IF('Livre de paie'!$A36="","",'Livre de paie'!M36)</f>
        <v/>
      </c>
      <c r="AQ36" s="83">
        <f>IF('Livre de paie'!$A36="","",'Livre de paie'!N36)</f>
        <v/>
      </c>
      <c r="AR36" s="83">
        <f>IF('Livre de paie'!$A36="","",'Livre de paie'!O36)</f>
        <v/>
      </c>
      <c r="AS36" s="83">
        <f>IF('Livre de paie'!$A36="","",'Livre de paie'!P36)</f>
        <v/>
      </c>
      <c r="AT36" s="83">
        <f>IF('Livre de paie'!$A36="","",'Livre de paie'!Q36)</f>
        <v/>
      </c>
      <c r="AU36" s="83">
        <f>IF('Livre de paie'!$A36="","",'Livre de paie'!R36)</f>
        <v/>
      </c>
      <c r="AV36" s="83">
        <f>IF('Livre de paie'!$A36="","",'Livre de paie'!S36)</f>
        <v/>
      </c>
      <c r="AW36" s="83">
        <f>IF('Livre de paie'!$A36="","",'Livre de paie'!U36)</f>
        <v/>
      </c>
      <c r="AX36" s="83">
        <f>IF('Livre de paie'!$A36="","",'Livre de paie'!Z36)</f>
        <v/>
      </c>
      <c r="AY36" s="83">
        <f>IF('Livre de paie'!$A36="","",'Livre de paie'!AA36)</f>
        <v/>
      </c>
      <c r="AZ36" s="83">
        <f>IF('Livre de paie'!$A36="","",'Livre de paie'!AB36)</f>
        <v/>
      </c>
      <c r="BA36" s="83">
        <f>IF('Livre de paie'!$A36="","",'Livre de paie'!AC36)</f>
        <v/>
      </c>
      <c r="BB36" s="83">
        <f>IF('Livre de paie'!$A36="","",'Livre de paie'!AD36)</f>
        <v/>
      </c>
      <c r="BC36" s="123">
        <f>IF('Livre de paie'!$A36="","",TODAY())</f>
        <v/>
      </c>
    </row>
    <row r="37" ht="15" customHeight="1" s="71">
      <c r="AC37" s="138">
        <f>IF('Livre de paie'!$A37="","",PERIODE_DATE)</f>
        <v/>
      </c>
      <c r="AD37" s="82">
        <f>IF('Livre de paie'!$A37="","",'Livre de paie'!A37)</f>
        <v/>
      </c>
      <c r="AE37" s="82">
        <f>IF('Livre de paie'!$A37="","",'Livre de paie'!B37)</f>
        <v/>
      </c>
      <c r="AF37" s="82">
        <f>IF('Livre de paie'!$A37="","",'Livre de paie'!C37)</f>
        <v/>
      </c>
      <c r="AG37" s="83">
        <f>IF('Livre de paie'!$A37="","",'Livre de paie'!D37)</f>
        <v/>
      </c>
      <c r="AH37" s="83">
        <f>IF('Livre de paie'!$A37="","",'Livre de paie'!E37)</f>
        <v/>
      </c>
      <c r="AI37" s="83">
        <f>IF('Livre de paie'!$A37="","",'Livre de paie'!F37)</f>
        <v/>
      </c>
      <c r="AJ37" s="83">
        <f>IF('Livre de paie'!$A37="","",'Livre de paie'!G37)</f>
        <v/>
      </c>
      <c r="AK37" s="83">
        <f>IF('Livre de paie'!$A37="","",'Livre de paie'!H37)</f>
        <v/>
      </c>
      <c r="AL37" s="83">
        <f>IF('Livre de paie'!$A37="","",'Livre de paie'!I37)</f>
        <v/>
      </c>
      <c r="AM37" s="83">
        <f>IF('Livre de paie'!$A37="","",'Livre de paie'!J37)</f>
        <v/>
      </c>
      <c r="AN37" s="83">
        <f>IF('Livre de paie'!$A37="","",'Livre de paie'!K37)</f>
        <v/>
      </c>
      <c r="AO37" s="83">
        <f>IF('Livre de paie'!$A37="","",'Livre de paie'!L37)</f>
        <v/>
      </c>
      <c r="AP37" s="83">
        <f>IF('Livre de paie'!$A37="","",'Livre de paie'!M37)</f>
        <v/>
      </c>
      <c r="AQ37" s="83">
        <f>IF('Livre de paie'!$A37="","",'Livre de paie'!N37)</f>
        <v/>
      </c>
      <c r="AR37" s="83">
        <f>IF('Livre de paie'!$A37="","",'Livre de paie'!O37)</f>
        <v/>
      </c>
      <c r="AS37" s="83">
        <f>IF('Livre de paie'!$A37="","",'Livre de paie'!P37)</f>
        <v/>
      </c>
      <c r="AT37" s="83">
        <f>IF('Livre de paie'!$A37="","",'Livre de paie'!Q37)</f>
        <v/>
      </c>
      <c r="AU37" s="83">
        <f>IF('Livre de paie'!$A37="","",'Livre de paie'!R37)</f>
        <v/>
      </c>
      <c r="AV37" s="83">
        <f>IF('Livre de paie'!$A37="","",'Livre de paie'!S37)</f>
        <v/>
      </c>
      <c r="AW37" s="83">
        <f>IF('Livre de paie'!$A37="","",'Livre de paie'!U37)</f>
        <v/>
      </c>
      <c r="AX37" s="83">
        <f>IF('Livre de paie'!$A37="","",'Livre de paie'!Z37)</f>
        <v/>
      </c>
      <c r="AY37" s="83">
        <f>IF('Livre de paie'!$A37="","",'Livre de paie'!AA37)</f>
        <v/>
      </c>
      <c r="AZ37" s="83">
        <f>IF('Livre de paie'!$A37="","",'Livre de paie'!AB37)</f>
        <v/>
      </c>
      <c r="BA37" s="83">
        <f>IF('Livre de paie'!$A37="","",'Livre de paie'!AC37)</f>
        <v/>
      </c>
      <c r="BB37" s="83">
        <f>IF('Livre de paie'!$A37="","",'Livre de paie'!AD37)</f>
        <v/>
      </c>
      <c r="BC37" s="123">
        <f>IF('Livre de paie'!$A37="","",TODAY())</f>
        <v/>
      </c>
    </row>
    <row r="38" ht="15" customHeight="1" s="71">
      <c r="AC38" s="138">
        <f>IF('Livre de paie'!$A38="","",PERIODE_DATE)</f>
        <v/>
      </c>
      <c r="AD38" s="82">
        <f>IF('Livre de paie'!$A38="","",'Livre de paie'!A38)</f>
        <v/>
      </c>
      <c r="AE38" s="82">
        <f>IF('Livre de paie'!$A38="","",'Livre de paie'!B38)</f>
        <v/>
      </c>
      <c r="AF38" s="82">
        <f>IF('Livre de paie'!$A38="","",'Livre de paie'!C38)</f>
        <v/>
      </c>
      <c r="AG38" s="83">
        <f>IF('Livre de paie'!$A38="","",'Livre de paie'!D38)</f>
        <v/>
      </c>
      <c r="AH38" s="83">
        <f>IF('Livre de paie'!$A38="","",'Livre de paie'!E38)</f>
        <v/>
      </c>
      <c r="AI38" s="83">
        <f>IF('Livre de paie'!$A38="","",'Livre de paie'!F38)</f>
        <v/>
      </c>
      <c r="AJ38" s="83">
        <f>IF('Livre de paie'!$A38="","",'Livre de paie'!G38)</f>
        <v/>
      </c>
      <c r="AK38" s="83">
        <f>IF('Livre de paie'!$A38="","",'Livre de paie'!H38)</f>
        <v/>
      </c>
      <c r="AL38" s="83">
        <f>IF('Livre de paie'!$A38="","",'Livre de paie'!I38)</f>
        <v/>
      </c>
      <c r="AM38" s="83">
        <f>IF('Livre de paie'!$A38="","",'Livre de paie'!J38)</f>
        <v/>
      </c>
      <c r="AN38" s="83">
        <f>IF('Livre de paie'!$A38="","",'Livre de paie'!K38)</f>
        <v/>
      </c>
      <c r="AO38" s="83">
        <f>IF('Livre de paie'!$A38="","",'Livre de paie'!L38)</f>
        <v/>
      </c>
      <c r="AP38" s="83">
        <f>IF('Livre de paie'!$A38="","",'Livre de paie'!M38)</f>
        <v/>
      </c>
      <c r="AQ38" s="83">
        <f>IF('Livre de paie'!$A38="","",'Livre de paie'!N38)</f>
        <v/>
      </c>
      <c r="AR38" s="83">
        <f>IF('Livre de paie'!$A38="","",'Livre de paie'!O38)</f>
        <v/>
      </c>
      <c r="AS38" s="83">
        <f>IF('Livre de paie'!$A38="","",'Livre de paie'!P38)</f>
        <v/>
      </c>
      <c r="AT38" s="83">
        <f>IF('Livre de paie'!$A38="","",'Livre de paie'!Q38)</f>
        <v/>
      </c>
      <c r="AU38" s="83">
        <f>IF('Livre de paie'!$A38="","",'Livre de paie'!R38)</f>
        <v/>
      </c>
      <c r="AV38" s="83">
        <f>IF('Livre de paie'!$A38="","",'Livre de paie'!S38)</f>
        <v/>
      </c>
      <c r="AW38" s="83">
        <f>IF('Livre de paie'!$A38="","",'Livre de paie'!U38)</f>
        <v/>
      </c>
      <c r="AX38" s="83">
        <f>IF('Livre de paie'!$A38="","",'Livre de paie'!Z38)</f>
        <v/>
      </c>
      <c r="AY38" s="83">
        <f>IF('Livre de paie'!$A38="","",'Livre de paie'!AA38)</f>
        <v/>
      </c>
      <c r="AZ38" s="83">
        <f>IF('Livre de paie'!$A38="","",'Livre de paie'!AB38)</f>
        <v/>
      </c>
      <c r="BA38" s="83">
        <f>IF('Livre de paie'!$A38="","",'Livre de paie'!AC38)</f>
        <v/>
      </c>
      <c r="BB38" s="83">
        <f>IF('Livre de paie'!$A38="","",'Livre de paie'!AD38)</f>
        <v/>
      </c>
      <c r="BC38" s="123">
        <f>IF('Livre de paie'!$A38="","",TODAY())</f>
        <v/>
      </c>
    </row>
    <row r="39" ht="15" customHeight="1" s="71">
      <c r="AC39" s="138">
        <f>IF('Livre de paie'!$A39="","",PERIODE_DATE)</f>
        <v/>
      </c>
      <c r="AD39" s="82">
        <f>IF('Livre de paie'!$A39="","",'Livre de paie'!A39)</f>
        <v/>
      </c>
      <c r="AE39" s="82">
        <f>IF('Livre de paie'!$A39="","",'Livre de paie'!B39)</f>
        <v/>
      </c>
      <c r="AF39" s="82">
        <f>IF('Livre de paie'!$A39="","",'Livre de paie'!C39)</f>
        <v/>
      </c>
      <c r="AG39" s="83">
        <f>IF('Livre de paie'!$A39="","",'Livre de paie'!D39)</f>
        <v/>
      </c>
      <c r="AH39" s="83">
        <f>IF('Livre de paie'!$A39="","",'Livre de paie'!E39)</f>
        <v/>
      </c>
      <c r="AI39" s="83">
        <f>IF('Livre de paie'!$A39="","",'Livre de paie'!F39)</f>
        <v/>
      </c>
      <c r="AJ39" s="83">
        <f>IF('Livre de paie'!$A39="","",'Livre de paie'!G39)</f>
        <v/>
      </c>
      <c r="AK39" s="83">
        <f>IF('Livre de paie'!$A39="","",'Livre de paie'!H39)</f>
        <v/>
      </c>
      <c r="AL39" s="83">
        <f>IF('Livre de paie'!$A39="","",'Livre de paie'!I39)</f>
        <v/>
      </c>
      <c r="AM39" s="83">
        <f>IF('Livre de paie'!$A39="","",'Livre de paie'!J39)</f>
        <v/>
      </c>
      <c r="AN39" s="83">
        <f>IF('Livre de paie'!$A39="","",'Livre de paie'!K39)</f>
        <v/>
      </c>
      <c r="AO39" s="83">
        <f>IF('Livre de paie'!$A39="","",'Livre de paie'!L39)</f>
        <v/>
      </c>
      <c r="AP39" s="83">
        <f>IF('Livre de paie'!$A39="","",'Livre de paie'!M39)</f>
        <v/>
      </c>
      <c r="AQ39" s="83">
        <f>IF('Livre de paie'!$A39="","",'Livre de paie'!N39)</f>
        <v/>
      </c>
      <c r="AR39" s="83">
        <f>IF('Livre de paie'!$A39="","",'Livre de paie'!O39)</f>
        <v/>
      </c>
      <c r="AS39" s="83">
        <f>IF('Livre de paie'!$A39="","",'Livre de paie'!P39)</f>
        <v/>
      </c>
      <c r="AT39" s="83">
        <f>IF('Livre de paie'!$A39="","",'Livre de paie'!Q39)</f>
        <v/>
      </c>
      <c r="AU39" s="83">
        <f>IF('Livre de paie'!$A39="","",'Livre de paie'!R39)</f>
        <v/>
      </c>
      <c r="AV39" s="83">
        <f>IF('Livre de paie'!$A39="","",'Livre de paie'!S39)</f>
        <v/>
      </c>
      <c r="AW39" s="83">
        <f>IF('Livre de paie'!$A39="","",'Livre de paie'!U39)</f>
        <v/>
      </c>
      <c r="AX39" s="83">
        <f>IF('Livre de paie'!$A39="","",'Livre de paie'!Z39)</f>
        <v/>
      </c>
      <c r="AY39" s="83">
        <f>IF('Livre de paie'!$A39="","",'Livre de paie'!AA39)</f>
        <v/>
      </c>
      <c r="AZ39" s="83">
        <f>IF('Livre de paie'!$A39="","",'Livre de paie'!AB39)</f>
        <v/>
      </c>
      <c r="BA39" s="83">
        <f>IF('Livre de paie'!$A39="","",'Livre de paie'!AC39)</f>
        <v/>
      </c>
      <c r="BB39" s="83">
        <f>IF('Livre de paie'!$A39="","",'Livre de paie'!AD39)</f>
        <v/>
      </c>
      <c r="BC39" s="123">
        <f>IF('Livre de paie'!$A39="","",TODAY())</f>
        <v/>
      </c>
    </row>
    <row r="40" ht="15" customHeight="1" s="71">
      <c r="AC40" s="138">
        <f>IF('Livre de paie'!$A40="","",PERIODE_DATE)</f>
        <v/>
      </c>
      <c r="AD40" s="82">
        <f>IF('Livre de paie'!$A40="","",'Livre de paie'!A40)</f>
        <v/>
      </c>
      <c r="AE40" s="82">
        <f>IF('Livre de paie'!$A40="","",'Livre de paie'!B40)</f>
        <v/>
      </c>
      <c r="AF40" s="82">
        <f>IF('Livre de paie'!$A40="","",'Livre de paie'!C40)</f>
        <v/>
      </c>
      <c r="AG40" s="83">
        <f>IF('Livre de paie'!$A40="","",'Livre de paie'!D40)</f>
        <v/>
      </c>
      <c r="AH40" s="83">
        <f>IF('Livre de paie'!$A40="","",'Livre de paie'!E40)</f>
        <v/>
      </c>
      <c r="AI40" s="83">
        <f>IF('Livre de paie'!$A40="","",'Livre de paie'!F40)</f>
        <v/>
      </c>
      <c r="AJ40" s="83">
        <f>IF('Livre de paie'!$A40="","",'Livre de paie'!G40)</f>
        <v/>
      </c>
      <c r="AK40" s="83">
        <f>IF('Livre de paie'!$A40="","",'Livre de paie'!H40)</f>
        <v/>
      </c>
      <c r="AL40" s="83">
        <f>IF('Livre de paie'!$A40="","",'Livre de paie'!I40)</f>
        <v/>
      </c>
      <c r="AM40" s="83">
        <f>IF('Livre de paie'!$A40="","",'Livre de paie'!J40)</f>
        <v/>
      </c>
      <c r="AN40" s="83">
        <f>IF('Livre de paie'!$A40="","",'Livre de paie'!K40)</f>
        <v/>
      </c>
      <c r="AO40" s="83">
        <f>IF('Livre de paie'!$A40="","",'Livre de paie'!L40)</f>
        <v/>
      </c>
      <c r="AP40" s="83">
        <f>IF('Livre de paie'!$A40="","",'Livre de paie'!M40)</f>
        <v/>
      </c>
      <c r="AQ40" s="83">
        <f>IF('Livre de paie'!$A40="","",'Livre de paie'!N40)</f>
        <v/>
      </c>
      <c r="AR40" s="83">
        <f>IF('Livre de paie'!$A40="","",'Livre de paie'!O40)</f>
        <v/>
      </c>
      <c r="AS40" s="83">
        <f>IF('Livre de paie'!$A40="","",'Livre de paie'!P40)</f>
        <v/>
      </c>
      <c r="AT40" s="83">
        <f>IF('Livre de paie'!$A40="","",'Livre de paie'!Q40)</f>
        <v/>
      </c>
      <c r="AU40" s="83">
        <f>IF('Livre de paie'!$A40="","",'Livre de paie'!R40)</f>
        <v/>
      </c>
      <c r="AV40" s="83">
        <f>IF('Livre de paie'!$A40="","",'Livre de paie'!S40)</f>
        <v/>
      </c>
      <c r="AW40" s="83">
        <f>IF('Livre de paie'!$A40="","",'Livre de paie'!U40)</f>
        <v/>
      </c>
      <c r="AX40" s="83">
        <f>IF('Livre de paie'!$A40="","",'Livre de paie'!Z40)</f>
        <v/>
      </c>
      <c r="AY40" s="83">
        <f>IF('Livre de paie'!$A40="","",'Livre de paie'!AA40)</f>
        <v/>
      </c>
      <c r="AZ40" s="83">
        <f>IF('Livre de paie'!$A40="","",'Livre de paie'!AB40)</f>
        <v/>
      </c>
      <c r="BA40" s="83">
        <f>IF('Livre de paie'!$A40="","",'Livre de paie'!AC40)</f>
        <v/>
      </c>
      <c r="BB40" s="83">
        <f>IF('Livre de paie'!$A40="","",'Livre de paie'!AD40)</f>
        <v/>
      </c>
      <c r="BC40" s="123">
        <f>IF('Livre de paie'!$A40="","",TODAY())</f>
        <v/>
      </c>
    </row>
    <row r="41" ht="15" customHeight="1" s="71">
      <c r="AC41" s="138">
        <f>IF('Livre de paie'!$A41="","",PERIODE_DATE)</f>
        <v/>
      </c>
      <c r="AD41" s="82">
        <f>IF('Livre de paie'!$A41="","",'Livre de paie'!A41)</f>
        <v/>
      </c>
      <c r="AE41" s="82">
        <f>IF('Livre de paie'!$A41="","",'Livre de paie'!B41)</f>
        <v/>
      </c>
      <c r="AF41" s="82">
        <f>IF('Livre de paie'!$A41="","",'Livre de paie'!C41)</f>
        <v/>
      </c>
      <c r="AG41" s="83">
        <f>IF('Livre de paie'!$A41="","",'Livre de paie'!D41)</f>
        <v/>
      </c>
      <c r="AH41" s="83">
        <f>IF('Livre de paie'!$A41="","",'Livre de paie'!E41)</f>
        <v/>
      </c>
      <c r="AI41" s="83">
        <f>IF('Livre de paie'!$A41="","",'Livre de paie'!F41)</f>
        <v/>
      </c>
      <c r="AJ41" s="83">
        <f>IF('Livre de paie'!$A41="","",'Livre de paie'!G41)</f>
        <v/>
      </c>
      <c r="AK41" s="83">
        <f>IF('Livre de paie'!$A41="","",'Livre de paie'!H41)</f>
        <v/>
      </c>
      <c r="AL41" s="83">
        <f>IF('Livre de paie'!$A41="","",'Livre de paie'!I41)</f>
        <v/>
      </c>
      <c r="AM41" s="83">
        <f>IF('Livre de paie'!$A41="","",'Livre de paie'!J41)</f>
        <v/>
      </c>
      <c r="AN41" s="83">
        <f>IF('Livre de paie'!$A41="","",'Livre de paie'!K41)</f>
        <v/>
      </c>
      <c r="AO41" s="83">
        <f>IF('Livre de paie'!$A41="","",'Livre de paie'!L41)</f>
        <v/>
      </c>
      <c r="AP41" s="83">
        <f>IF('Livre de paie'!$A41="","",'Livre de paie'!M41)</f>
        <v/>
      </c>
      <c r="AQ41" s="83">
        <f>IF('Livre de paie'!$A41="","",'Livre de paie'!N41)</f>
        <v/>
      </c>
      <c r="AR41" s="83">
        <f>IF('Livre de paie'!$A41="","",'Livre de paie'!O41)</f>
        <v/>
      </c>
      <c r="AS41" s="83">
        <f>IF('Livre de paie'!$A41="","",'Livre de paie'!P41)</f>
        <v/>
      </c>
      <c r="AT41" s="83">
        <f>IF('Livre de paie'!$A41="","",'Livre de paie'!Q41)</f>
        <v/>
      </c>
      <c r="AU41" s="83">
        <f>IF('Livre de paie'!$A41="","",'Livre de paie'!R41)</f>
        <v/>
      </c>
      <c r="AV41" s="83">
        <f>IF('Livre de paie'!$A41="","",'Livre de paie'!S41)</f>
        <v/>
      </c>
      <c r="AW41" s="83">
        <f>IF('Livre de paie'!$A41="","",'Livre de paie'!U41)</f>
        <v/>
      </c>
      <c r="AX41" s="83">
        <f>IF('Livre de paie'!$A41="","",'Livre de paie'!Z41)</f>
        <v/>
      </c>
      <c r="AY41" s="83">
        <f>IF('Livre de paie'!$A41="","",'Livre de paie'!AA41)</f>
        <v/>
      </c>
      <c r="AZ41" s="83">
        <f>IF('Livre de paie'!$A41="","",'Livre de paie'!AB41)</f>
        <v/>
      </c>
      <c r="BA41" s="83">
        <f>IF('Livre de paie'!$A41="","",'Livre de paie'!AC41)</f>
        <v/>
      </c>
      <c r="BB41" s="83">
        <f>IF('Livre de paie'!$A41="","",'Livre de paie'!AD41)</f>
        <v/>
      </c>
      <c r="BC41" s="123">
        <f>IF('Livre de paie'!$A41="","",TODAY())</f>
        <v/>
      </c>
    </row>
    <row r="42" ht="15" customHeight="1" s="71">
      <c r="AC42" s="138">
        <f>IF('Livre de paie'!$A42="","",PERIODE_DATE)</f>
        <v/>
      </c>
      <c r="AD42" s="82">
        <f>IF('Livre de paie'!$A42="","",'Livre de paie'!A42)</f>
        <v/>
      </c>
      <c r="AE42" s="82">
        <f>IF('Livre de paie'!$A42="","",'Livre de paie'!B42)</f>
        <v/>
      </c>
      <c r="AF42" s="82">
        <f>IF('Livre de paie'!$A42="","",'Livre de paie'!C42)</f>
        <v/>
      </c>
      <c r="AG42" s="83">
        <f>IF('Livre de paie'!$A42="","",'Livre de paie'!D42)</f>
        <v/>
      </c>
      <c r="AH42" s="83">
        <f>IF('Livre de paie'!$A42="","",'Livre de paie'!E42)</f>
        <v/>
      </c>
      <c r="AI42" s="83">
        <f>IF('Livre de paie'!$A42="","",'Livre de paie'!F42)</f>
        <v/>
      </c>
      <c r="AJ42" s="83">
        <f>IF('Livre de paie'!$A42="","",'Livre de paie'!G42)</f>
        <v/>
      </c>
      <c r="AK42" s="83">
        <f>IF('Livre de paie'!$A42="","",'Livre de paie'!H42)</f>
        <v/>
      </c>
      <c r="AL42" s="83">
        <f>IF('Livre de paie'!$A42="","",'Livre de paie'!I42)</f>
        <v/>
      </c>
      <c r="AM42" s="83">
        <f>IF('Livre de paie'!$A42="","",'Livre de paie'!J42)</f>
        <v/>
      </c>
      <c r="AN42" s="83">
        <f>IF('Livre de paie'!$A42="","",'Livre de paie'!K42)</f>
        <v/>
      </c>
      <c r="AO42" s="83">
        <f>IF('Livre de paie'!$A42="","",'Livre de paie'!L42)</f>
        <v/>
      </c>
      <c r="AP42" s="83">
        <f>IF('Livre de paie'!$A42="","",'Livre de paie'!M42)</f>
        <v/>
      </c>
      <c r="AQ42" s="83">
        <f>IF('Livre de paie'!$A42="","",'Livre de paie'!N42)</f>
        <v/>
      </c>
      <c r="AR42" s="83">
        <f>IF('Livre de paie'!$A42="","",'Livre de paie'!O42)</f>
        <v/>
      </c>
      <c r="AS42" s="83">
        <f>IF('Livre de paie'!$A42="","",'Livre de paie'!P42)</f>
        <v/>
      </c>
      <c r="AT42" s="83">
        <f>IF('Livre de paie'!$A42="","",'Livre de paie'!Q42)</f>
        <v/>
      </c>
      <c r="AU42" s="83">
        <f>IF('Livre de paie'!$A42="","",'Livre de paie'!R42)</f>
        <v/>
      </c>
      <c r="AV42" s="83">
        <f>IF('Livre de paie'!$A42="","",'Livre de paie'!S42)</f>
        <v/>
      </c>
      <c r="AW42" s="83">
        <f>IF('Livre de paie'!$A42="","",'Livre de paie'!U42)</f>
        <v/>
      </c>
      <c r="AX42" s="83">
        <f>IF('Livre de paie'!$A42="","",'Livre de paie'!Z42)</f>
        <v/>
      </c>
      <c r="AY42" s="83">
        <f>IF('Livre de paie'!$A42="","",'Livre de paie'!AA42)</f>
        <v/>
      </c>
      <c r="AZ42" s="83">
        <f>IF('Livre de paie'!$A42="","",'Livre de paie'!AB42)</f>
        <v/>
      </c>
      <c r="BA42" s="83">
        <f>IF('Livre de paie'!$A42="","",'Livre de paie'!AC42)</f>
        <v/>
      </c>
      <c r="BB42" s="83">
        <f>IF('Livre de paie'!$A42="","",'Livre de paie'!AD42)</f>
        <v/>
      </c>
      <c r="BC42" s="123">
        <f>IF('Livre de paie'!$A42="","",TODAY())</f>
        <v/>
      </c>
    </row>
    <row r="43" ht="15" customHeight="1" s="71">
      <c r="AC43" s="138">
        <f>IF('Livre de paie'!$A43="","",PERIODE_DATE)</f>
        <v/>
      </c>
      <c r="AD43" s="82">
        <f>IF('Livre de paie'!$A43="","",'Livre de paie'!A43)</f>
        <v/>
      </c>
      <c r="AE43" s="82">
        <f>IF('Livre de paie'!$A43="","",'Livre de paie'!B43)</f>
        <v/>
      </c>
      <c r="AF43" s="82">
        <f>IF('Livre de paie'!$A43="","",'Livre de paie'!C43)</f>
        <v/>
      </c>
      <c r="AG43" s="83">
        <f>IF('Livre de paie'!$A43="","",'Livre de paie'!D43)</f>
        <v/>
      </c>
      <c r="AH43" s="83">
        <f>IF('Livre de paie'!$A43="","",'Livre de paie'!E43)</f>
        <v/>
      </c>
      <c r="AI43" s="83">
        <f>IF('Livre de paie'!$A43="","",'Livre de paie'!F43)</f>
        <v/>
      </c>
      <c r="AJ43" s="83">
        <f>IF('Livre de paie'!$A43="","",'Livre de paie'!G43)</f>
        <v/>
      </c>
      <c r="AK43" s="83">
        <f>IF('Livre de paie'!$A43="","",'Livre de paie'!H43)</f>
        <v/>
      </c>
      <c r="AL43" s="83">
        <f>IF('Livre de paie'!$A43="","",'Livre de paie'!I43)</f>
        <v/>
      </c>
      <c r="AM43" s="83">
        <f>IF('Livre de paie'!$A43="","",'Livre de paie'!J43)</f>
        <v/>
      </c>
      <c r="AN43" s="83">
        <f>IF('Livre de paie'!$A43="","",'Livre de paie'!K43)</f>
        <v/>
      </c>
      <c r="AO43" s="83">
        <f>IF('Livre de paie'!$A43="","",'Livre de paie'!L43)</f>
        <v/>
      </c>
      <c r="AP43" s="83">
        <f>IF('Livre de paie'!$A43="","",'Livre de paie'!M43)</f>
        <v/>
      </c>
      <c r="AQ43" s="83">
        <f>IF('Livre de paie'!$A43="","",'Livre de paie'!N43)</f>
        <v/>
      </c>
      <c r="AR43" s="83">
        <f>IF('Livre de paie'!$A43="","",'Livre de paie'!O43)</f>
        <v/>
      </c>
      <c r="AS43" s="83">
        <f>IF('Livre de paie'!$A43="","",'Livre de paie'!P43)</f>
        <v/>
      </c>
      <c r="AT43" s="83">
        <f>IF('Livre de paie'!$A43="","",'Livre de paie'!Q43)</f>
        <v/>
      </c>
      <c r="AU43" s="83">
        <f>IF('Livre de paie'!$A43="","",'Livre de paie'!R43)</f>
        <v/>
      </c>
      <c r="AV43" s="83">
        <f>IF('Livre de paie'!$A43="","",'Livre de paie'!S43)</f>
        <v/>
      </c>
      <c r="AW43" s="83">
        <f>IF('Livre de paie'!$A43="","",'Livre de paie'!U43)</f>
        <v/>
      </c>
      <c r="AX43" s="83">
        <f>IF('Livre de paie'!$A43="","",'Livre de paie'!Z43)</f>
        <v/>
      </c>
      <c r="AY43" s="83">
        <f>IF('Livre de paie'!$A43="","",'Livre de paie'!AA43)</f>
        <v/>
      </c>
      <c r="AZ43" s="83">
        <f>IF('Livre de paie'!$A43="","",'Livre de paie'!AB43)</f>
        <v/>
      </c>
      <c r="BA43" s="83">
        <f>IF('Livre de paie'!$A43="","",'Livre de paie'!AC43)</f>
        <v/>
      </c>
      <c r="BB43" s="83">
        <f>IF('Livre de paie'!$A43="","",'Livre de paie'!AD43)</f>
        <v/>
      </c>
      <c r="BC43" s="123">
        <f>IF('Livre de paie'!$A43="","",TODAY())</f>
        <v/>
      </c>
    </row>
    <row r="44" ht="15" customHeight="1" s="71">
      <c r="AC44" s="138">
        <f>IF('Livre de paie'!$A44="","",PERIODE_DATE)</f>
        <v/>
      </c>
      <c r="AD44" s="82">
        <f>IF('Livre de paie'!$A44="","",'Livre de paie'!A44)</f>
        <v/>
      </c>
      <c r="AE44" s="82">
        <f>IF('Livre de paie'!$A44="","",'Livre de paie'!B44)</f>
        <v/>
      </c>
      <c r="AF44" s="82">
        <f>IF('Livre de paie'!$A44="","",'Livre de paie'!C44)</f>
        <v/>
      </c>
      <c r="AG44" s="83">
        <f>IF('Livre de paie'!$A44="","",'Livre de paie'!D44)</f>
        <v/>
      </c>
      <c r="AH44" s="83">
        <f>IF('Livre de paie'!$A44="","",'Livre de paie'!E44)</f>
        <v/>
      </c>
      <c r="AI44" s="83">
        <f>IF('Livre de paie'!$A44="","",'Livre de paie'!F44)</f>
        <v/>
      </c>
      <c r="AJ44" s="83">
        <f>IF('Livre de paie'!$A44="","",'Livre de paie'!G44)</f>
        <v/>
      </c>
      <c r="AK44" s="83">
        <f>IF('Livre de paie'!$A44="","",'Livre de paie'!H44)</f>
        <v/>
      </c>
      <c r="AL44" s="83">
        <f>IF('Livre de paie'!$A44="","",'Livre de paie'!I44)</f>
        <v/>
      </c>
      <c r="AM44" s="83">
        <f>IF('Livre de paie'!$A44="","",'Livre de paie'!J44)</f>
        <v/>
      </c>
      <c r="AN44" s="83">
        <f>IF('Livre de paie'!$A44="","",'Livre de paie'!K44)</f>
        <v/>
      </c>
      <c r="AO44" s="83">
        <f>IF('Livre de paie'!$A44="","",'Livre de paie'!L44)</f>
        <v/>
      </c>
      <c r="AP44" s="83">
        <f>IF('Livre de paie'!$A44="","",'Livre de paie'!M44)</f>
        <v/>
      </c>
      <c r="AQ44" s="83">
        <f>IF('Livre de paie'!$A44="","",'Livre de paie'!N44)</f>
        <v/>
      </c>
      <c r="AR44" s="83">
        <f>IF('Livre de paie'!$A44="","",'Livre de paie'!O44)</f>
        <v/>
      </c>
      <c r="AS44" s="83">
        <f>IF('Livre de paie'!$A44="","",'Livre de paie'!P44)</f>
        <v/>
      </c>
      <c r="AT44" s="83">
        <f>IF('Livre de paie'!$A44="","",'Livre de paie'!Q44)</f>
        <v/>
      </c>
      <c r="AU44" s="83">
        <f>IF('Livre de paie'!$A44="","",'Livre de paie'!R44)</f>
        <v/>
      </c>
      <c r="AV44" s="83">
        <f>IF('Livre de paie'!$A44="","",'Livre de paie'!S44)</f>
        <v/>
      </c>
      <c r="AW44" s="83">
        <f>IF('Livre de paie'!$A44="","",'Livre de paie'!U44)</f>
        <v/>
      </c>
      <c r="AX44" s="83">
        <f>IF('Livre de paie'!$A44="","",'Livre de paie'!Z44)</f>
        <v/>
      </c>
      <c r="AY44" s="83">
        <f>IF('Livre de paie'!$A44="","",'Livre de paie'!AA44)</f>
        <v/>
      </c>
      <c r="AZ44" s="83">
        <f>IF('Livre de paie'!$A44="","",'Livre de paie'!AB44)</f>
        <v/>
      </c>
      <c r="BA44" s="83">
        <f>IF('Livre de paie'!$A44="","",'Livre de paie'!AC44)</f>
        <v/>
      </c>
      <c r="BB44" s="83">
        <f>IF('Livre de paie'!$A44="","",'Livre de paie'!AD44)</f>
        <v/>
      </c>
      <c r="BC44" s="123">
        <f>IF('Livre de paie'!$A44="","",TODAY())</f>
        <v/>
      </c>
    </row>
    <row r="45" ht="15" customHeight="1" s="71">
      <c r="AC45" s="138">
        <f>IF('Livre de paie'!$A45="","",PERIODE_DATE)</f>
        <v/>
      </c>
      <c r="AD45" s="82">
        <f>IF('Livre de paie'!$A45="","",'Livre de paie'!A45)</f>
        <v/>
      </c>
      <c r="AE45" s="82">
        <f>IF('Livre de paie'!$A45="","",'Livre de paie'!B45)</f>
        <v/>
      </c>
      <c r="AF45" s="82">
        <f>IF('Livre de paie'!$A45="","",'Livre de paie'!C45)</f>
        <v/>
      </c>
      <c r="AG45" s="83">
        <f>IF('Livre de paie'!$A45="","",'Livre de paie'!D45)</f>
        <v/>
      </c>
      <c r="AH45" s="83">
        <f>IF('Livre de paie'!$A45="","",'Livre de paie'!E45)</f>
        <v/>
      </c>
      <c r="AI45" s="83">
        <f>IF('Livre de paie'!$A45="","",'Livre de paie'!F45)</f>
        <v/>
      </c>
      <c r="AJ45" s="83">
        <f>IF('Livre de paie'!$A45="","",'Livre de paie'!G45)</f>
        <v/>
      </c>
      <c r="AK45" s="83">
        <f>IF('Livre de paie'!$A45="","",'Livre de paie'!H45)</f>
        <v/>
      </c>
      <c r="AL45" s="83">
        <f>IF('Livre de paie'!$A45="","",'Livre de paie'!I45)</f>
        <v/>
      </c>
      <c r="AM45" s="83">
        <f>IF('Livre de paie'!$A45="","",'Livre de paie'!J45)</f>
        <v/>
      </c>
      <c r="AN45" s="83">
        <f>IF('Livre de paie'!$A45="","",'Livre de paie'!K45)</f>
        <v/>
      </c>
      <c r="AO45" s="83">
        <f>IF('Livre de paie'!$A45="","",'Livre de paie'!L45)</f>
        <v/>
      </c>
      <c r="AP45" s="83">
        <f>IF('Livre de paie'!$A45="","",'Livre de paie'!M45)</f>
        <v/>
      </c>
      <c r="AQ45" s="83">
        <f>IF('Livre de paie'!$A45="","",'Livre de paie'!N45)</f>
        <v/>
      </c>
      <c r="AR45" s="83">
        <f>IF('Livre de paie'!$A45="","",'Livre de paie'!O45)</f>
        <v/>
      </c>
      <c r="AS45" s="83">
        <f>IF('Livre de paie'!$A45="","",'Livre de paie'!P45)</f>
        <v/>
      </c>
      <c r="AT45" s="83">
        <f>IF('Livre de paie'!$A45="","",'Livre de paie'!Q45)</f>
        <v/>
      </c>
      <c r="AU45" s="83">
        <f>IF('Livre de paie'!$A45="","",'Livre de paie'!R45)</f>
        <v/>
      </c>
      <c r="AV45" s="83">
        <f>IF('Livre de paie'!$A45="","",'Livre de paie'!S45)</f>
        <v/>
      </c>
      <c r="AW45" s="83">
        <f>IF('Livre de paie'!$A45="","",'Livre de paie'!U45)</f>
        <v/>
      </c>
      <c r="AX45" s="83">
        <f>IF('Livre de paie'!$A45="","",'Livre de paie'!Z45)</f>
        <v/>
      </c>
      <c r="AY45" s="83">
        <f>IF('Livre de paie'!$A45="","",'Livre de paie'!AA45)</f>
        <v/>
      </c>
      <c r="AZ45" s="83">
        <f>IF('Livre de paie'!$A45="","",'Livre de paie'!AB45)</f>
        <v/>
      </c>
      <c r="BA45" s="83">
        <f>IF('Livre de paie'!$A45="","",'Livre de paie'!AC45)</f>
        <v/>
      </c>
      <c r="BB45" s="83">
        <f>IF('Livre de paie'!$A45="","",'Livre de paie'!AD45)</f>
        <v/>
      </c>
      <c r="BC45" s="123">
        <f>IF('Livre de paie'!$A45="","",TODAY())</f>
        <v/>
      </c>
    </row>
    <row r="46" ht="15" customHeight="1" s="71">
      <c r="AC46" s="138">
        <f>IF('Livre de paie'!$A46="","",PERIODE_DATE)</f>
        <v/>
      </c>
      <c r="AD46" s="82">
        <f>IF('Livre de paie'!$A46="","",'Livre de paie'!A46)</f>
        <v/>
      </c>
      <c r="AE46" s="82">
        <f>IF('Livre de paie'!$A46="","",'Livre de paie'!B46)</f>
        <v/>
      </c>
      <c r="AF46" s="82">
        <f>IF('Livre de paie'!$A46="","",'Livre de paie'!C46)</f>
        <v/>
      </c>
      <c r="AG46" s="83">
        <f>IF('Livre de paie'!$A46="","",'Livre de paie'!D46)</f>
        <v/>
      </c>
      <c r="AH46" s="83">
        <f>IF('Livre de paie'!$A46="","",'Livre de paie'!E46)</f>
        <v/>
      </c>
      <c r="AI46" s="83">
        <f>IF('Livre de paie'!$A46="","",'Livre de paie'!F46)</f>
        <v/>
      </c>
      <c r="AJ46" s="83">
        <f>IF('Livre de paie'!$A46="","",'Livre de paie'!G46)</f>
        <v/>
      </c>
      <c r="AK46" s="83">
        <f>IF('Livre de paie'!$A46="","",'Livre de paie'!H46)</f>
        <v/>
      </c>
      <c r="AL46" s="83">
        <f>IF('Livre de paie'!$A46="","",'Livre de paie'!I46)</f>
        <v/>
      </c>
      <c r="AM46" s="83">
        <f>IF('Livre de paie'!$A46="","",'Livre de paie'!J46)</f>
        <v/>
      </c>
      <c r="AN46" s="83">
        <f>IF('Livre de paie'!$A46="","",'Livre de paie'!K46)</f>
        <v/>
      </c>
      <c r="AO46" s="83">
        <f>IF('Livre de paie'!$A46="","",'Livre de paie'!L46)</f>
        <v/>
      </c>
      <c r="AP46" s="83">
        <f>IF('Livre de paie'!$A46="","",'Livre de paie'!M46)</f>
        <v/>
      </c>
      <c r="AQ46" s="83">
        <f>IF('Livre de paie'!$A46="","",'Livre de paie'!N46)</f>
        <v/>
      </c>
      <c r="AR46" s="83">
        <f>IF('Livre de paie'!$A46="","",'Livre de paie'!O46)</f>
        <v/>
      </c>
      <c r="AS46" s="83">
        <f>IF('Livre de paie'!$A46="","",'Livre de paie'!P46)</f>
        <v/>
      </c>
      <c r="AT46" s="83">
        <f>IF('Livre de paie'!$A46="","",'Livre de paie'!Q46)</f>
        <v/>
      </c>
      <c r="AU46" s="83">
        <f>IF('Livre de paie'!$A46="","",'Livre de paie'!R46)</f>
        <v/>
      </c>
      <c r="AV46" s="83">
        <f>IF('Livre de paie'!$A46="","",'Livre de paie'!S46)</f>
        <v/>
      </c>
      <c r="AW46" s="83">
        <f>IF('Livre de paie'!$A46="","",'Livre de paie'!U46)</f>
        <v/>
      </c>
      <c r="AX46" s="83">
        <f>IF('Livre de paie'!$A46="","",'Livre de paie'!Z46)</f>
        <v/>
      </c>
      <c r="AY46" s="83">
        <f>IF('Livre de paie'!$A46="","",'Livre de paie'!AA46)</f>
        <v/>
      </c>
      <c r="AZ46" s="83">
        <f>IF('Livre de paie'!$A46="","",'Livre de paie'!AB46)</f>
        <v/>
      </c>
      <c r="BA46" s="83">
        <f>IF('Livre de paie'!$A46="","",'Livre de paie'!AC46)</f>
        <v/>
      </c>
      <c r="BB46" s="83">
        <f>IF('Livre de paie'!$A46="","",'Livre de paie'!AD46)</f>
        <v/>
      </c>
      <c r="BC46" s="123">
        <f>IF('Livre de paie'!$A46="","",TODAY())</f>
        <v/>
      </c>
    </row>
    <row r="47" ht="15" customHeight="1" s="71">
      <c r="AC47" s="138">
        <f>IF('Livre de paie'!$A47="","",PERIODE_DATE)</f>
        <v/>
      </c>
      <c r="AD47" s="82">
        <f>IF('Livre de paie'!$A47="","",'Livre de paie'!A47)</f>
        <v/>
      </c>
      <c r="AE47" s="82">
        <f>IF('Livre de paie'!$A47="","",'Livre de paie'!B47)</f>
        <v/>
      </c>
      <c r="AF47" s="82">
        <f>IF('Livre de paie'!$A47="","",'Livre de paie'!C47)</f>
        <v/>
      </c>
      <c r="AG47" s="83">
        <f>IF('Livre de paie'!$A47="","",'Livre de paie'!D47)</f>
        <v/>
      </c>
      <c r="AH47" s="83">
        <f>IF('Livre de paie'!$A47="","",'Livre de paie'!E47)</f>
        <v/>
      </c>
      <c r="AI47" s="83">
        <f>IF('Livre de paie'!$A47="","",'Livre de paie'!F47)</f>
        <v/>
      </c>
      <c r="AJ47" s="83">
        <f>IF('Livre de paie'!$A47="","",'Livre de paie'!G47)</f>
        <v/>
      </c>
      <c r="AK47" s="83">
        <f>IF('Livre de paie'!$A47="","",'Livre de paie'!H47)</f>
        <v/>
      </c>
      <c r="AL47" s="83">
        <f>IF('Livre de paie'!$A47="","",'Livre de paie'!I47)</f>
        <v/>
      </c>
      <c r="AM47" s="83">
        <f>IF('Livre de paie'!$A47="","",'Livre de paie'!J47)</f>
        <v/>
      </c>
      <c r="AN47" s="83">
        <f>IF('Livre de paie'!$A47="","",'Livre de paie'!K47)</f>
        <v/>
      </c>
      <c r="AO47" s="83">
        <f>IF('Livre de paie'!$A47="","",'Livre de paie'!L47)</f>
        <v/>
      </c>
      <c r="AP47" s="83">
        <f>IF('Livre de paie'!$A47="","",'Livre de paie'!M47)</f>
        <v/>
      </c>
      <c r="AQ47" s="83">
        <f>IF('Livre de paie'!$A47="","",'Livre de paie'!N47)</f>
        <v/>
      </c>
      <c r="AR47" s="83">
        <f>IF('Livre de paie'!$A47="","",'Livre de paie'!O47)</f>
        <v/>
      </c>
      <c r="AS47" s="83">
        <f>IF('Livre de paie'!$A47="","",'Livre de paie'!P47)</f>
        <v/>
      </c>
      <c r="AT47" s="83">
        <f>IF('Livre de paie'!$A47="","",'Livre de paie'!Q47)</f>
        <v/>
      </c>
      <c r="AU47" s="83">
        <f>IF('Livre de paie'!$A47="","",'Livre de paie'!R47)</f>
        <v/>
      </c>
      <c r="AV47" s="83">
        <f>IF('Livre de paie'!$A47="","",'Livre de paie'!S47)</f>
        <v/>
      </c>
      <c r="AW47" s="83">
        <f>IF('Livre de paie'!$A47="","",'Livre de paie'!U47)</f>
        <v/>
      </c>
      <c r="AX47" s="83">
        <f>IF('Livre de paie'!$A47="","",'Livre de paie'!Z47)</f>
        <v/>
      </c>
      <c r="AY47" s="83">
        <f>IF('Livre de paie'!$A47="","",'Livre de paie'!AA47)</f>
        <v/>
      </c>
      <c r="AZ47" s="83">
        <f>IF('Livre de paie'!$A47="","",'Livre de paie'!AB47)</f>
        <v/>
      </c>
      <c r="BA47" s="83">
        <f>IF('Livre de paie'!$A47="","",'Livre de paie'!AC47)</f>
        <v/>
      </c>
      <c r="BB47" s="83">
        <f>IF('Livre de paie'!$A47="","",'Livre de paie'!AD47)</f>
        <v/>
      </c>
      <c r="BC47" s="123">
        <f>IF('Livre de paie'!$A47="","",TODAY())</f>
        <v/>
      </c>
    </row>
    <row r="48" ht="15" customHeight="1" s="71">
      <c r="AC48" s="138">
        <f>IF('Livre de paie'!$A48="","",PERIODE_DATE)</f>
        <v/>
      </c>
      <c r="AD48" s="82">
        <f>IF('Livre de paie'!$A48="","",'Livre de paie'!A48)</f>
        <v/>
      </c>
      <c r="AE48" s="82">
        <f>IF('Livre de paie'!$A48="","",'Livre de paie'!B48)</f>
        <v/>
      </c>
      <c r="AF48" s="82">
        <f>IF('Livre de paie'!$A48="","",'Livre de paie'!C48)</f>
        <v/>
      </c>
      <c r="AG48" s="83">
        <f>IF('Livre de paie'!$A48="","",'Livre de paie'!D48)</f>
        <v/>
      </c>
      <c r="AH48" s="83">
        <f>IF('Livre de paie'!$A48="","",'Livre de paie'!E48)</f>
        <v/>
      </c>
      <c r="AI48" s="83">
        <f>IF('Livre de paie'!$A48="","",'Livre de paie'!F48)</f>
        <v/>
      </c>
      <c r="AJ48" s="83">
        <f>IF('Livre de paie'!$A48="","",'Livre de paie'!G48)</f>
        <v/>
      </c>
      <c r="AK48" s="83">
        <f>IF('Livre de paie'!$A48="","",'Livre de paie'!H48)</f>
        <v/>
      </c>
      <c r="AL48" s="83">
        <f>IF('Livre de paie'!$A48="","",'Livre de paie'!I48)</f>
        <v/>
      </c>
      <c r="AM48" s="83">
        <f>IF('Livre de paie'!$A48="","",'Livre de paie'!J48)</f>
        <v/>
      </c>
      <c r="AN48" s="83">
        <f>IF('Livre de paie'!$A48="","",'Livre de paie'!K48)</f>
        <v/>
      </c>
      <c r="AO48" s="83">
        <f>IF('Livre de paie'!$A48="","",'Livre de paie'!L48)</f>
        <v/>
      </c>
      <c r="AP48" s="83">
        <f>IF('Livre de paie'!$A48="","",'Livre de paie'!M48)</f>
        <v/>
      </c>
      <c r="AQ48" s="83">
        <f>IF('Livre de paie'!$A48="","",'Livre de paie'!N48)</f>
        <v/>
      </c>
      <c r="AR48" s="83">
        <f>IF('Livre de paie'!$A48="","",'Livre de paie'!O48)</f>
        <v/>
      </c>
      <c r="AS48" s="83">
        <f>IF('Livre de paie'!$A48="","",'Livre de paie'!P48)</f>
        <v/>
      </c>
      <c r="AT48" s="83">
        <f>IF('Livre de paie'!$A48="","",'Livre de paie'!Q48)</f>
        <v/>
      </c>
      <c r="AU48" s="83">
        <f>IF('Livre de paie'!$A48="","",'Livre de paie'!R48)</f>
        <v/>
      </c>
      <c r="AV48" s="83">
        <f>IF('Livre de paie'!$A48="","",'Livre de paie'!S48)</f>
        <v/>
      </c>
      <c r="AW48" s="83">
        <f>IF('Livre de paie'!$A48="","",'Livre de paie'!U48)</f>
        <v/>
      </c>
      <c r="AX48" s="83">
        <f>IF('Livre de paie'!$A48="","",'Livre de paie'!Z48)</f>
        <v/>
      </c>
      <c r="AY48" s="83">
        <f>IF('Livre de paie'!$A48="","",'Livre de paie'!AA48)</f>
        <v/>
      </c>
      <c r="AZ48" s="83">
        <f>IF('Livre de paie'!$A48="","",'Livre de paie'!AB48)</f>
        <v/>
      </c>
      <c r="BA48" s="83">
        <f>IF('Livre de paie'!$A48="","",'Livre de paie'!AC48)</f>
        <v/>
      </c>
      <c r="BB48" s="83">
        <f>IF('Livre de paie'!$A48="","",'Livre de paie'!AD48)</f>
        <v/>
      </c>
      <c r="BC48" s="123">
        <f>IF('Livre de paie'!$A48="","",TODAY())</f>
        <v/>
      </c>
    </row>
    <row r="49" ht="15" customHeight="1" s="71">
      <c r="AC49" s="138">
        <f>IF('Livre de paie'!$A49="","",PERIODE_DATE)</f>
        <v/>
      </c>
      <c r="AD49" s="82">
        <f>IF('Livre de paie'!$A49="","",'Livre de paie'!A49)</f>
        <v/>
      </c>
      <c r="AE49" s="82">
        <f>IF('Livre de paie'!$A49="","",'Livre de paie'!B49)</f>
        <v/>
      </c>
      <c r="AF49" s="82">
        <f>IF('Livre de paie'!$A49="","",'Livre de paie'!C49)</f>
        <v/>
      </c>
      <c r="AG49" s="83">
        <f>IF('Livre de paie'!$A49="","",'Livre de paie'!D49)</f>
        <v/>
      </c>
      <c r="AH49" s="83">
        <f>IF('Livre de paie'!$A49="","",'Livre de paie'!E49)</f>
        <v/>
      </c>
      <c r="AI49" s="83">
        <f>IF('Livre de paie'!$A49="","",'Livre de paie'!F49)</f>
        <v/>
      </c>
      <c r="AJ49" s="83">
        <f>IF('Livre de paie'!$A49="","",'Livre de paie'!G49)</f>
        <v/>
      </c>
      <c r="AK49" s="83">
        <f>IF('Livre de paie'!$A49="","",'Livre de paie'!H49)</f>
        <v/>
      </c>
      <c r="AL49" s="83">
        <f>IF('Livre de paie'!$A49="","",'Livre de paie'!I49)</f>
        <v/>
      </c>
      <c r="AM49" s="83">
        <f>IF('Livre de paie'!$A49="","",'Livre de paie'!J49)</f>
        <v/>
      </c>
      <c r="AN49" s="83">
        <f>IF('Livre de paie'!$A49="","",'Livre de paie'!K49)</f>
        <v/>
      </c>
      <c r="AO49" s="83">
        <f>IF('Livre de paie'!$A49="","",'Livre de paie'!L49)</f>
        <v/>
      </c>
      <c r="AP49" s="83">
        <f>IF('Livre de paie'!$A49="","",'Livre de paie'!M49)</f>
        <v/>
      </c>
      <c r="AQ49" s="83">
        <f>IF('Livre de paie'!$A49="","",'Livre de paie'!N49)</f>
        <v/>
      </c>
      <c r="AR49" s="83">
        <f>IF('Livre de paie'!$A49="","",'Livre de paie'!O49)</f>
        <v/>
      </c>
      <c r="AS49" s="83">
        <f>IF('Livre de paie'!$A49="","",'Livre de paie'!P49)</f>
        <v/>
      </c>
      <c r="AT49" s="83">
        <f>IF('Livre de paie'!$A49="","",'Livre de paie'!Q49)</f>
        <v/>
      </c>
      <c r="AU49" s="83">
        <f>IF('Livre de paie'!$A49="","",'Livre de paie'!R49)</f>
        <v/>
      </c>
      <c r="AV49" s="83">
        <f>IF('Livre de paie'!$A49="","",'Livre de paie'!S49)</f>
        <v/>
      </c>
      <c r="AW49" s="83">
        <f>IF('Livre de paie'!$A49="","",'Livre de paie'!U49)</f>
        <v/>
      </c>
      <c r="AX49" s="83">
        <f>IF('Livre de paie'!$A49="","",'Livre de paie'!Z49)</f>
        <v/>
      </c>
      <c r="AY49" s="83">
        <f>IF('Livre de paie'!$A49="","",'Livre de paie'!AA49)</f>
        <v/>
      </c>
      <c r="AZ49" s="83">
        <f>IF('Livre de paie'!$A49="","",'Livre de paie'!AB49)</f>
        <v/>
      </c>
      <c r="BA49" s="83">
        <f>IF('Livre de paie'!$A49="","",'Livre de paie'!AC49)</f>
        <v/>
      </c>
      <c r="BB49" s="83">
        <f>IF('Livre de paie'!$A49="","",'Livre de paie'!AD49)</f>
        <v/>
      </c>
      <c r="BC49" s="123">
        <f>IF('Livre de paie'!$A49="","",TODAY())</f>
        <v/>
      </c>
    </row>
    <row r="50" ht="15" customHeight="1" s="71">
      <c r="AC50" s="138">
        <f>IF('Livre de paie'!$A50="","",PERIODE_DATE)</f>
        <v/>
      </c>
      <c r="AD50" s="82">
        <f>IF('Livre de paie'!$A50="","",'Livre de paie'!A50)</f>
        <v/>
      </c>
      <c r="AE50" s="82">
        <f>IF('Livre de paie'!$A50="","",'Livre de paie'!B50)</f>
        <v/>
      </c>
      <c r="AF50" s="82">
        <f>IF('Livre de paie'!$A50="","",'Livre de paie'!C50)</f>
        <v/>
      </c>
      <c r="AG50" s="83">
        <f>IF('Livre de paie'!$A50="","",'Livre de paie'!D50)</f>
        <v/>
      </c>
      <c r="AH50" s="83">
        <f>IF('Livre de paie'!$A50="","",'Livre de paie'!E50)</f>
        <v/>
      </c>
      <c r="AI50" s="83">
        <f>IF('Livre de paie'!$A50="","",'Livre de paie'!F50)</f>
        <v/>
      </c>
      <c r="AJ50" s="83">
        <f>IF('Livre de paie'!$A50="","",'Livre de paie'!G50)</f>
        <v/>
      </c>
      <c r="AK50" s="83">
        <f>IF('Livre de paie'!$A50="","",'Livre de paie'!H50)</f>
        <v/>
      </c>
      <c r="AL50" s="83">
        <f>IF('Livre de paie'!$A50="","",'Livre de paie'!I50)</f>
        <v/>
      </c>
      <c r="AM50" s="83">
        <f>IF('Livre de paie'!$A50="","",'Livre de paie'!J50)</f>
        <v/>
      </c>
      <c r="AN50" s="83">
        <f>IF('Livre de paie'!$A50="","",'Livre de paie'!K50)</f>
        <v/>
      </c>
      <c r="AO50" s="83">
        <f>IF('Livre de paie'!$A50="","",'Livre de paie'!L50)</f>
        <v/>
      </c>
      <c r="AP50" s="83">
        <f>IF('Livre de paie'!$A50="","",'Livre de paie'!M50)</f>
        <v/>
      </c>
      <c r="AQ50" s="83">
        <f>IF('Livre de paie'!$A50="","",'Livre de paie'!N50)</f>
        <v/>
      </c>
      <c r="AR50" s="83">
        <f>IF('Livre de paie'!$A50="","",'Livre de paie'!O50)</f>
        <v/>
      </c>
      <c r="AS50" s="83">
        <f>IF('Livre de paie'!$A50="","",'Livre de paie'!P50)</f>
        <v/>
      </c>
      <c r="AT50" s="83">
        <f>IF('Livre de paie'!$A50="","",'Livre de paie'!Q50)</f>
        <v/>
      </c>
      <c r="AU50" s="83">
        <f>IF('Livre de paie'!$A50="","",'Livre de paie'!R50)</f>
        <v/>
      </c>
      <c r="AV50" s="83">
        <f>IF('Livre de paie'!$A50="","",'Livre de paie'!S50)</f>
        <v/>
      </c>
      <c r="AW50" s="83">
        <f>IF('Livre de paie'!$A50="","",'Livre de paie'!U50)</f>
        <v/>
      </c>
      <c r="AX50" s="83">
        <f>IF('Livre de paie'!$A50="","",'Livre de paie'!Z50)</f>
        <v/>
      </c>
      <c r="AY50" s="83">
        <f>IF('Livre de paie'!$A50="","",'Livre de paie'!AA50)</f>
        <v/>
      </c>
      <c r="AZ50" s="83">
        <f>IF('Livre de paie'!$A50="","",'Livre de paie'!AB50)</f>
        <v/>
      </c>
      <c r="BA50" s="83">
        <f>IF('Livre de paie'!$A50="","",'Livre de paie'!AC50)</f>
        <v/>
      </c>
      <c r="BB50" s="83">
        <f>IF('Livre de paie'!$A50="","",'Livre de paie'!AD50)</f>
        <v/>
      </c>
      <c r="BC50" s="123">
        <f>IF('Livre de paie'!$A50="","",TODAY())</f>
        <v/>
      </c>
    </row>
    <row r="51" ht="15" customHeight="1" s="71">
      <c r="AC51" s="138">
        <f>IF('Livre de paie'!$A51="","",PERIODE_DATE)</f>
        <v/>
      </c>
      <c r="AD51" s="82">
        <f>IF('Livre de paie'!$A51="","",'Livre de paie'!A51)</f>
        <v/>
      </c>
      <c r="AE51" s="82">
        <f>IF('Livre de paie'!$A51="","",'Livre de paie'!B51)</f>
        <v/>
      </c>
      <c r="AF51" s="82">
        <f>IF('Livre de paie'!$A51="","",'Livre de paie'!C51)</f>
        <v/>
      </c>
      <c r="AG51" s="83">
        <f>IF('Livre de paie'!$A51="","",'Livre de paie'!D51)</f>
        <v/>
      </c>
      <c r="AH51" s="83">
        <f>IF('Livre de paie'!$A51="","",'Livre de paie'!E51)</f>
        <v/>
      </c>
      <c r="AI51" s="83">
        <f>IF('Livre de paie'!$A51="","",'Livre de paie'!F51)</f>
        <v/>
      </c>
      <c r="AJ51" s="83">
        <f>IF('Livre de paie'!$A51="","",'Livre de paie'!G51)</f>
        <v/>
      </c>
      <c r="AK51" s="83">
        <f>IF('Livre de paie'!$A51="","",'Livre de paie'!H51)</f>
        <v/>
      </c>
      <c r="AL51" s="83">
        <f>IF('Livre de paie'!$A51="","",'Livre de paie'!I51)</f>
        <v/>
      </c>
      <c r="AM51" s="83">
        <f>IF('Livre de paie'!$A51="","",'Livre de paie'!J51)</f>
        <v/>
      </c>
      <c r="AN51" s="83">
        <f>IF('Livre de paie'!$A51="","",'Livre de paie'!K51)</f>
        <v/>
      </c>
      <c r="AO51" s="83">
        <f>IF('Livre de paie'!$A51="","",'Livre de paie'!L51)</f>
        <v/>
      </c>
      <c r="AP51" s="83">
        <f>IF('Livre de paie'!$A51="","",'Livre de paie'!M51)</f>
        <v/>
      </c>
      <c r="AQ51" s="83">
        <f>IF('Livre de paie'!$A51="","",'Livre de paie'!N51)</f>
        <v/>
      </c>
      <c r="AR51" s="83">
        <f>IF('Livre de paie'!$A51="","",'Livre de paie'!O51)</f>
        <v/>
      </c>
      <c r="AS51" s="83">
        <f>IF('Livre de paie'!$A51="","",'Livre de paie'!P51)</f>
        <v/>
      </c>
      <c r="AT51" s="83">
        <f>IF('Livre de paie'!$A51="","",'Livre de paie'!Q51)</f>
        <v/>
      </c>
      <c r="AU51" s="83">
        <f>IF('Livre de paie'!$A51="","",'Livre de paie'!R51)</f>
        <v/>
      </c>
      <c r="AV51" s="83">
        <f>IF('Livre de paie'!$A51="","",'Livre de paie'!S51)</f>
        <v/>
      </c>
      <c r="AW51" s="83">
        <f>IF('Livre de paie'!$A51="","",'Livre de paie'!U51)</f>
        <v/>
      </c>
      <c r="AX51" s="83">
        <f>IF('Livre de paie'!$A51="","",'Livre de paie'!Z51)</f>
        <v/>
      </c>
      <c r="AY51" s="83">
        <f>IF('Livre de paie'!$A51="","",'Livre de paie'!AA51)</f>
        <v/>
      </c>
      <c r="AZ51" s="83">
        <f>IF('Livre de paie'!$A51="","",'Livre de paie'!AB51)</f>
        <v/>
      </c>
      <c r="BA51" s="83">
        <f>IF('Livre de paie'!$A51="","",'Livre de paie'!AC51)</f>
        <v/>
      </c>
      <c r="BB51" s="83">
        <f>IF('Livre de paie'!$A51="","",'Livre de paie'!AD51)</f>
        <v/>
      </c>
      <c r="BC51" s="123">
        <f>IF('Livre de paie'!$A51="","",TODAY())</f>
        <v/>
      </c>
    </row>
    <row r="52" ht="15" customHeight="1" s="71">
      <c r="AC52" s="138">
        <f>IF('Livre de paie'!$A52="","",PERIODE_DATE)</f>
        <v/>
      </c>
      <c r="AD52" s="82">
        <f>IF('Livre de paie'!$A52="","",'Livre de paie'!A52)</f>
        <v/>
      </c>
      <c r="AE52" s="82">
        <f>IF('Livre de paie'!$A52="","",'Livre de paie'!B52)</f>
        <v/>
      </c>
      <c r="AF52" s="82">
        <f>IF('Livre de paie'!$A52="","",'Livre de paie'!C52)</f>
        <v/>
      </c>
      <c r="AG52" s="83">
        <f>IF('Livre de paie'!$A52="","",'Livre de paie'!D52)</f>
        <v/>
      </c>
      <c r="AH52" s="83">
        <f>IF('Livre de paie'!$A52="","",'Livre de paie'!E52)</f>
        <v/>
      </c>
      <c r="AI52" s="83">
        <f>IF('Livre de paie'!$A52="","",'Livre de paie'!F52)</f>
        <v/>
      </c>
      <c r="AJ52" s="83">
        <f>IF('Livre de paie'!$A52="","",'Livre de paie'!G52)</f>
        <v/>
      </c>
      <c r="AK52" s="83">
        <f>IF('Livre de paie'!$A52="","",'Livre de paie'!H52)</f>
        <v/>
      </c>
      <c r="AL52" s="83">
        <f>IF('Livre de paie'!$A52="","",'Livre de paie'!I52)</f>
        <v/>
      </c>
      <c r="AM52" s="83">
        <f>IF('Livre de paie'!$A52="","",'Livre de paie'!J52)</f>
        <v/>
      </c>
      <c r="AN52" s="83">
        <f>IF('Livre de paie'!$A52="","",'Livre de paie'!K52)</f>
        <v/>
      </c>
      <c r="AO52" s="83">
        <f>IF('Livre de paie'!$A52="","",'Livre de paie'!L52)</f>
        <v/>
      </c>
      <c r="AP52" s="83">
        <f>IF('Livre de paie'!$A52="","",'Livre de paie'!M52)</f>
        <v/>
      </c>
      <c r="AQ52" s="83">
        <f>IF('Livre de paie'!$A52="","",'Livre de paie'!N52)</f>
        <v/>
      </c>
      <c r="AR52" s="83">
        <f>IF('Livre de paie'!$A52="","",'Livre de paie'!O52)</f>
        <v/>
      </c>
      <c r="AS52" s="83">
        <f>IF('Livre de paie'!$A52="","",'Livre de paie'!P52)</f>
        <v/>
      </c>
      <c r="AT52" s="83">
        <f>IF('Livre de paie'!$A52="","",'Livre de paie'!Q52)</f>
        <v/>
      </c>
      <c r="AU52" s="83">
        <f>IF('Livre de paie'!$A52="","",'Livre de paie'!R52)</f>
        <v/>
      </c>
      <c r="AV52" s="83">
        <f>IF('Livre de paie'!$A52="","",'Livre de paie'!S52)</f>
        <v/>
      </c>
      <c r="AW52" s="83">
        <f>IF('Livre de paie'!$A52="","",'Livre de paie'!U52)</f>
        <v/>
      </c>
      <c r="AX52" s="83">
        <f>IF('Livre de paie'!$A52="","",'Livre de paie'!Z52)</f>
        <v/>
      </c>
      <c r="AY52" s="83">
        <f>IF('Livre de paie'!$A52="","",'Livre de paie'!AA52)</f>
        <v/>
      </c>
      <c r="AZ52" s="83">
        <f>IF('Livre de paie'!$A52="","",'Livre de paie'!AB52)</f>
        <v/>
      </c>
      <c r="BA52" s="83">
        <f>IF('Livre de paie'!$A52="","",'Livre de paie'!AC52)</f>
        <v/>
      </c>
      <c r="BB52" s="83">
        <f>IF('Livre de paie'!$A52="","",'Livre de paie'!AD52)</f>
        <v/>
      </c>
      <c r="BC52" s="123">
        <f>IF('Livre de paie'!$A52="","",TODAY())</f>
        <v/>
      </c>
    </row>
    <row r="53" ht="15" customHeight="1" s="71">
      <c r="AC53" s="138">
        <f>IF('Livre de paie'!$A53="","",PERIODE_DATE)</f>
        <v/>
      </c>
      <c r="AD53" s="82">
        <f>IF('Livre de paie'!$A53="","",'Livre de paie'!A53)</f>
        <v/>
      </c>
      <c r="AE53" s="82">
        <f>IF('Livre de paie'!$A53="","",'Livre de paie'!B53)</f>
        <v/>
      </c>
      <c r="AF53" s="82">
        <f>IF('Livre de paie'!$A53="","",'Livre de paie'!C53)</f>
        <v/>
      </c>
      <c r="AG53" s="83">
        <f>IF('Livre de paie'!$A53="","",'Livre de paie'!D53)</f>
        <v/>
      </c>
      <c r="AH53" s="83">
        <f>IF('Livre de paie'!$A53="","",'Livre de paie'!E53)</f>
        <v/>
      </c>
      <c r="AI53" s="83">
        <f>IF('Livre de paie'!$A53="","",'Livre de paie'!F53)</f>
        <v/>
      </c>
      <c r="AJ53" s="83">
        <f>IF('Livre de paie'!$A53="","",'Livre de paie'!G53)</f>
        <v/>
      </c>
      <c r="AK53" s="83">
        <f>IF('Livre de paie'!$A53="","",'Livre de paie'!H53)</f>
        <v/>
      </c>
      <c r="AL53" s="83">
        <f>IF('Livre de paie'!$A53="","",'Livre de paie'!I53)</f>
        <v/>
      </c>
      <c r="AM53" s="83">
        <f>IF('Livre de paie'!$A53="","",'Livre de paie'!J53)</f>
        <v/>
      </c>
      <c r="AN53" s="83">
        <f>IF('Livre de paie'!$A53="","",'Livre de paie'!K53)</f>
        <v/>
      </c>
      <c r="AO53" s="83">
        <f>IF('Livre de paie'!$A53="","",'Livre de paie'!L53)</f>
        <v/>
      </c>
      <c r="AP53" s="83">
        <f>IF('Livre de paie'!$A53="","",'Livre de paie'!M53)</f>
        <v/>
      </c>
      <c r="AQ53" s="83">
        <f>IF('Livre de paie'!$A53="","",'Livre de paie'!N53)</f>
        <v/>
      </c>
      <c r="AR53" s="83">
        <f>IF('Livre de paie'!$A53="","",'Livre de paie'!O53)</f>
        <v/>
      </c>
      <c r="AS53" s="83">
        <f>IF('Livre de paie'!$A53="","",'Livre de paie'!P53)</f>
        <v/>
      </c>
      <c r="AT53" s="83">
        <f>IF('Livre de paie'!$A53="","",'Livre de paie'!Q53)</f>
        <v/>
      </c>
      <c r="AU53" s="83">
        <f>IF('Livre de paie'!$A53="","",'Livre de paie'!R53)</f>
        <v/>
      </c>
      <c r="AV53" s="83">
        <f>IF('Livre de paie'!$A53="","",'Livre de paie'!S53)</f>
        <v/>
      </c>
      <c r="AW53" s="83">
        <f>IF('Livre de paie'!$A53="","",'Livre de paie'!U53)</f>
        <v/>
      </c>
      <c r="AX53" s="83">
        <f>IF('Livre de paie'!$A53="","",'Livre de paie'!Z53)</f>
        <v/>
      </c>
      <c r="AY53" s="83">
        <f>IF('Livre de paie'!$A53="","",'Livre de paie'!AA53)</f>
        <v/>
      </c>
      <c r="AZ53" s="83">
        <f>IF('Livre de paie'!$A53="","",'Livre de paie'!AB53)</f>
        <v/>
      </c>
      <c r="BA53" s="83">
        <f>IF('Livre de paie'!$A53="","",'Livre de paie'!AC53)</f>
        <v/>
      </c>
      <c r="BB53" s="83">
        <f>IF('Livre de paie'!$A53="","",'Livre de paie'!AD53)</f>
        <v/>
      </c>
      <c r="BC53" s="123">
        <f>IF('Livre de paie'!$A53="","",TODAY())</f>
        <v/>
      </c>
    </row>
    <row r="54" ht="15" customHeight="1" s="71">
      <c r="AC54" s="138">
        <f>IF('Livre de paie'!$A54="","",PERIODE_DATE)</f>
        <v/>
      </c>
      <c r="AD54" s="82">
        <f>IF('Livre de paie'!$A54="","",'Livre de paie'!A54)</f>
        <v/>
      </c>
      <c r="AE54" s="82">
        <f>IF('Livre de paie'!$A54="","",'Livre de paie'!B54)</f>
        <v/>
      </c>
      <c r="AF54" s="82">
        <f>IF('Livre de paie'!$A54="","",'Livre de paie'!C54)</f>
        <v/>
      </c>
      <c r="AG54" s="83">
        <f>IF('Livre de paie'!$A54="","",'Livre de paie'!D54)</f>
        <v/>
      </c>
      <c r="AH54" s="83">
        <f>IF('Livre de paie'!$A54="","",'Livre de paie'!E54)</f>
        <v/>
      </c>
      <c r="AI54" s="83">
        <f>IF('Livre de paie'!$A54="","",'Livre de paie'!F54)</f>
        <v/>
      </c>
      <c r="AJ54" s="83">
        <f>IF('Livre de paie'!$A54="","",'Livre de paie'!G54)</f>
        <v/>
      </c>
      <c r="AK54" s="83">
        <f>IF('Livre de paie'!$A54="","",'Livre de paie'!H54)</f>
        <v/>
      </c>
      <c r="AL54" s="83">
        <f>IF('Livre de paie'!$A54="","",'Livre de paie'!I54)</f>
        <v/>
      </c>
      <c r="AM54" s="83">
        <f>IF('Livre de paie'!$A54="","",'Livre de paie'!J54)</f>
        <v/>
      </c>
      <c r="AN54" s="83">
        <f>IF('Livre de paie'!$A54="","",'Livre de paie'!K54)</f>
        <v/>
      </c>
      <c r="AO54" s="83">
        <f>IF('Livre de paie'!$A54="","",'Livre de paie'!L54)</f>
        <v/>
      </c>
      <c r="AP54" s="83">
        <f>IF('Livre de paie'!$A54="","",'Livre de paie'!M54)</f>
        <v/>
      </c>
      <c r="AQ54" s="83">
        <f>IF('Livre de paie'!$A54="","",'Livre de paie'!N54)</f>
        <v/>
      </c>
      <c r="AR54" s="83">
        <f>IF('Livre de paie'!$A54="","",'Livre de paie'!O54)</f>
        <v/>
      </c>
      <c r="AS54" s="83">
        <f>IF('Livre de paie'!$A54="","",'Livre de paie'!P54)</f>
        <v/>
      </c>
      <c r="AT54" s="83">
        <f>IF('Livre de paie'!$A54="","",'Livre de paie'!Q54)</f>
        <v/>
      </c>
      <c r="AU54" s="83">
        <f>IF('Livre de paie'!$A54="","",'Livre de paie'!R54)</f>
        <v/>
      </c>
      <c r="AV54" s="83">
        <f>IF('Livre de paie'!$A54="","",'Livre de paie'!S54)</f>
        <v/>
      </c>
      <c r="AW54" s="83">
        <f>IF('Livre de paie'!$A54="","",'Livre de paie'!U54)</f>
        <v/>
      </c>
      <c r="AX54" s="83">
        <f>IF('Livre de paie'!$A54="","",'Livre de paie'!Z54)</f>
        <v/>
      </c>
      <c r="AY54" s="83">
        <f>IF('Livre de paie'!$A54="","",'Livre de paie'!AA54)</f>
        <v/>
      </c>
      <c r="AZ54" s="83">
        <f>IF('Livre de paie'!$A54="","",'Livre de paie'!AB54)</f>
        <v/>
      </c>
      <c r="BA54" s="83">
        <f>IF('Livre de paie'!$A54="","",'Livre de paie'!AC54)</f>
        <v/>
      </c>
      <c r="BB54" s="83">
        <f>IF('Livre de paie'!$A54="","",'Livre de paie'!AD54)</f>
        <v/>
      </c>
      <c r="BC54" s="123">
        <f>IF('Livre de paie'!$A54="","",TODAY())</f>
        <v/>
      </c>
    </row>
    <row r="55" ht="15" customHeight="1" s="71">
      <c r="AC55" s="138">
        <f>IF('Livre de paie'!$A55="","",PERIODE_DATE)</f>
        <v/>
      </c>
      <c r="AD55" s="82">
        <f>IF('Livre de paie'!$A55="","",'Livre de paie'!A55)</f>
        <v/>
      </c>
      <c r="AE55" s="82">
        <f>IF('Livre de paie'!$A55="","",'Livre de paie'!B55)</f>
        <v/>
      </c>
      <c r="AF55" s="82">
        <f>IF('Livre de paie'!$A55="","",'Livre de paie'!C55)</f>
        <v/>
      </c>
      <c r="AG55" s="83">
        <f>IF('Livre de paie'!$A55="","",'Livre de paie'!D55)</f>
        <v/>
      </c>
      <c r="AH55" s="83">
        <f>IF('Livre de paie'!$A55="","",'Livre de paie'!E55)</f>
        <v/>
      </c>
      <c r="AI55" s="83">
        <f>IF('Livre de paie'!$A55="","",'Livre de paie'!F55)</f>
        <v/>
      </c>
      <c r="AJ55" s="83">
        <f>IF('Livre de paie'!$A55="","",'Livre de paie'!G55)</f>
        <v/>
      </c>
      <c r="AK55" s="83">
        <f>IF('Livre de paie'!$A55="","",'Livre de paie'!H55)</f>
        <v/>
      </c>
      <c r="AL55" s="83">
        <f>IF('Livre de paie'!$A55="","",'Livre de paie'!I55)</f>
        <v/>
      </c>
      <c r="AM55" s="83">
        <f>IF('Livre de paie'!$A55="","",'Livre de paie'!J55)</f>
        <v/>
      </c>
      <c r="AN55" s="83">
        <f>IF('Livre de paie'!$A55="","",'Livre de paie'!K55)</f>
        <v/>
      </c>
      <c r="AO55" s="83">
        <f>IF('Livre de paie'!$A55="","",'Livre de paie'!L55)</f>
        <v/>
      </c>
      <c r="AP55" s="83">
        <f>IF('Livre de paie'!$A55="","",'Livre de paie'!M55)</f>
        <v/>
      </c>
      <c r="AQ55" s="83">
        <f>IF('Livre de paie'!$A55="","",'Livre de paie'!N55)</f>
        <v/>
      </c>
      <c r="AR55" s="83">
        <f>IF('Livre de paie'!$A55="","",'Livre de paie'!O55)</f>
        <v/>
      </c>
      <c r="AS55" s="83">
        <f>IF('Livre de paie'!$A55="","",'Livre de paie'!P55)</f>
        <v/>
      </c>
      <c r="AT55" s="83">
        <f>IF('Livre de paie'!$A55="","",'Livre de paie'!Q55)</f>
        <v/>
      </c>
      <c r="AU55" s="83">
        <f>IF('Livre de paie'!$A55="","",'Livre de paie'!R55)</f>
        <v/>
      </c>
      <c r="AV55" s="83">
        <f>IF('Livre de paie'!$A55="","",'Livre de paie'!S55)</f>
        <v/>
      </c>
      <c r="AW55" s="83">
        <f>IF('Livre de paie'!$A55="","",'Livre de paie'!U55)</f>
        <v/>
      </c>
      <c r="AX55" s="83">
        <f>IF('Livre de paie'!$A55="","",'Livre de paie'!Z55)</f>
        <v/>
      </c>
      <c r="AY55" s="83">
        <f>IF('Livre de paie'!$A55="","",'Livre de paie'!AA55)</f>
        <v/>
      </c>
      <c r="AZ55" s="83">
        <f>IF('Livre de paie'!$A55="","",'Livre de paie'!AB55)</f>
        <v/>
      </c>
      <c r="BA55" s="83">
        <f>IF('Livre de paie'!$A55="","",'Livre de paie'!AC55)</f>
        <v/>
      </c>
      <c r="BB55" s="83">
        <f>IF('Livre de paie'!$A55="","",'Livre de paie'!AD55)</f>
        <v/>
      </c>
      <c r="BC55" s="123">
        <f>IF('Livre de paie'!$A55="","",TODAY())</f>
        <v/>
      </c>
    </row>
    <row r="56" ht="15" customHeight="1" s="71">
      <c r="AC56" s="138">
        <f>IF('Livre de paie'!$A56="","",PERIODE_DATE)</f>
        <v/>
      </c>
      <c r="AD56" s="82">
        <f>IF('Livre de paie'!$A56="","",'Livre de paie'!A56)</f>
        <v/>
      </c>
      <c r="AE56" s="82">
        <f>IF('Livre de paie'!$A56="","",'Livre de paie'!B56)</f>
        <v/>
      </c>
      <c r="AF56" s="82">
        <f>IF('Livre de paie'!$A56="","",'Livre de paie'!C56)</f>
        <v/>
      </c>
      <c r="AG56" s="83">
        <f>IF('Livre de paie'!$A56="","",'Livre de paie'!D56)</f>
        <v/>
      </c>
      <c r="AH56" s="83">
        <f>IF('Livre de paie'!$A56="","",'Livre de paie'!E56)</f>
        <v/>
      </c>
      <c r="AI56" s="83">
        <f>IF('Livre de paie'!$A56="","",'Livre de paie'!F56)</f>
        <v/>
      </c>
      <c r="AJ56" s="83">
        <f>IF('Livre de paie'!$A56="","",'Livre de paie'!G56)</f>
        <v/>
      </c>
      <c r="AK56" s="83">
        <f>IF('Livre de paie'!$A56="","",'Livre de paie'!H56)</f>
        <v/>
      </c>
      <c r="AL56" s="83">
        <f>IF('Livre de paie'!$A56="","",'Livre de paie'!I56)</f>
        <v/>
      </c>
      <c r="AM56" s="83">
        <f>IF('Livre de paie'!$A56="","",'Livre de paie'!J56)</f>
        <v/>
      </c>
      <c r="AN56" s="83">
        <f>IF('Livre de paie'!$A56="","",'Livre de paie'!K56)</f>
        <v/>
      </c>
      <c r="AO56" s="83">
        <f>IF('Livre de paie'!$A56="","",'Livre de paie'!L56)</f>
        <v/>
      </c>
      <c r="AP56" s="83">
        <f>IF('Livre de paie'!$A56="","",'Livre de paie'!M56)</f>
        <v/>
      </c>
      <c r="AQ56" s="83">
        <f>IF('Livre de paie'!$A56="","",'Livre de paie'!N56)</f>
        <v/>
      </c>
      <c r="AR56" s="83">
        <f>IF('Livre de paie'!$A56="","",'Livre de paie'!O56)</f>
        <v/>
      </c>
      <c r="AS56" s="83">
        <f>IF('Livre de paie'!$A56="","",'Livre de paie'!P56)</f>
        <v/>
      </c>
      <c r="AT56" s="83">
        <f>IF('Livre de paie'!$A56="","",'Livre de paie'!Q56)</f>
        <v/>
      </c>
      <c r="AU56" s="83">
        <f>IF('Livre de paie'!$A56="","",'Livre de paie'!R56)</f>
        <v/>
      </c>
      <c r="AV56" s="83">
        <f>IF('Livre de paie'!$A56="","",'Livre de paie'!S56)</f>
        <v/>
      </c>
      <c r="AW56" s="83">
        <f>IF('Livre de paie'!$A56="","",'Livre de paie'!U56)</f>
        <v/>
      </c>
      <c r="AX56" s="83">
        <f>IF('Livre de paie'!$A56="","",'Livre de paie'!Z56)</f>
        <v/>
      </c>
      <c r="AY56" s="83">
        <f>IF('Livre de paie'!$A56="","",'Livre de paie'!AA56)</f>
        <v/>
      </c>
      <c r="AZ56" s="83">
        <f>IF('Livre de paie'!$A56="","",'Livre de paie'!AB56)</f>
        <v/>
      </c>
      <c r="BA56" s="83">
        <f>IF('Livre de paie'!$A56="","",'Livre de paie'!AC56)</f>
        <v/>
      </c>
      <c r="BB56" s="83">
        <f>IF('Livre de paie'!$A56="","",'Livre de paie'!AD56)</f>
        <v/>
      </c>
      <c r="BC56" s="123">
        <f>IF('Livre de paie'!$A56="","",TODAY())</f>
        <v/>
      </c>
    </row>
    <row r="57" ht="15" customHeight="1" s="71">
      <c r="AC57" s="138">
        <f>IF('Livre de paie'!$A57="","",PERIODE_DATE)</f>
        <v/>
      </c>
      <c r="AD57" s="82">
        <f>IF('Livre de paie'!$A57="","",'Livre de paie'!A57)</f>
        <v/>
      </c>
      <c r="AE57" s="82">
        <f>IF('Livre de paie'!$A57="","",'Livre de paie'!B57)</f>
        <v/>
      </c>
      <c r="AF57" s="82">
        <f>IF('Livre de paie'!$A57="","",'Livre de paie'!C57)</f>
        <v/>
      </c>
      <c r="AG57" s="83">
        <f>IF('Livre de paie'!$A57="","",'Livre de paie'!D57)</f>
        <v/>
      </c>
      <c r="AH57" s="83">
        <f>IF('Livre de paie'!$A57="","",'Livre de paie'!E57)</f>
        <v/>
      </c>
      <c r="AI57" s="83">
        <f>IF('Livre de paie'!$A57="","",'Livre de paie'!F57)</f>
        <v/>
      </c>
      <c r="AJ57" s="83">
        <f>IF('Livre de paie'!$A57="","",'Livre de paie'!G57)</f>
        <v/>
      </c>
      <c r="AK57" s="83">
        <f>IF('Livre de paie'!$A57="","",'Livre de paie'!H57)</f>
        <v/>
      </c>
      <c r="AL57" s="83">
        <f>IF('Livre de paie'!$A57="","",'Livre de paie'!I57)</f>
        <v/>
      </c>
      <c r="AM57" s="83">
        <f>IF('Livre de paie'!$A57="","",'Livre de paie'!J57)</f>
        <v/>
      </c>
      <c r="AN57" s="83">
        <f>IF('Livre de paie'!$A57="","",'Livre de paie'!K57)</f>
        <v/>
      </c>
      <c r="AO57" s="83">
        <f>IF('Livre de paie'!$A57="","",'Livre de paie'!L57)</f>
        <v/>
      </c>
      <c r="AP57" s="83">
        <f>IF('Livre de paie'!$A57="","",'Livre de paie'!M57)</f>
        <v/>
      </c>
      <c r="AQ57" s="83">
        <f>IF('Livre de paie'!$A57="","",'Livre de paie'!N57)</f>
        <v/>
      </c>
      <c r="AR57" s="83">
        <f>IF('Livre de paie'!$A57="","",'Livre de paie'!O57)</f>
        <v/>
      </c>
      <c r="AS57" s="83">
        <f>IF('Livre de paie'!$A57="","",'Livre de paie'!P57)</f>
        <v/>
      </c>
      <c r="AT57" s="83">
        <f>IF('Livre de paie'!$A57="","",'Livre de paie'!Q57)</f>
        <v/>
      </c>
      <c r="AU57" s="83">
        <f>IF('Livre de paie'!$A57="","",'Livre de paie'!R57)</f>
        <v/>
      </c>
      <c r="AV57" s="83">
        <f>IF('Livre de paie'!$A57="","",'Livre de paie'!S57)</f>
        <v/>
      </c>
      <c r="AW57" s="83">
        <f>IF('Livre de paie'!$A57="","",'Livre de paie'!U57)</f>
        <v/>
      </c>
      <c r="AX57" s="83">
        <f>IF('Livre de paie'!$A57="","",'Livre de paie'!Z57)</f>
        <v/>
      </c>
      <c r="AY57" s="83">
        <f>IF('Livre de paie'!$A57="","",'Livre de paie'!AA57)</f>
        <v/>
      </c>
      <c r="AZ57" s="83">
        <f>IF('Livre de paie'!$A57="","",'Livre de paie'!AB57)</f>
        <v/>
      </c>
      <c r="BA57" s="83">
        <f>IF('Livre de paie'!$A57="","",'Livre de paie'!AC57)</f>
        <v/>
      </c>
      <c r="BB57" s="83">
        <f>IF('Livre de paie'!$A57="","",'Livre de paie'!AD57)</f>
        <v/>
      </c>
      <c r="BC57" s="123">
        <f>IF('Livre de paie'!$A57="","",TODAY())</f>
        <v/>
      </c>
    </row>
    <row r="58" ht="15" customHeight="1" s="71">
      <c r="AC58" s="138">
        <f>IF('Livre de paie'!$A58="","",PERIODE_DATE)</f>
        <v/>
      </c>
      <c r="AD58" s="82">
        <f>IF('Livre de paie'!$A58="","",'Livre de paie'!A58)</f>
        <v/>
      </c>
      <c r="AE58" s="82">
        <f>IF('Livre de paie'!$A58="","",'Livre de paie'!B58)</f>
        <v/>
      </c>
      <c r="AF58" s="82">
        <f>IF('Livre de paie'!$A58="","",'Livre de paie'!C58)</f>
        <v/>
      </c>
      <c r="AG58" s="83">
        <f>IF('Livre de paie'!$A58="","",'Livre de paie'!D58)</f>
        <v/>
      </c>
      <c r="AH58" s="83">
        <f>IF('Livre de paie'!$A58="","",'Livre de paie'!E58)</f>
        <v/>
      </c>
      <c r="AI58" s="83">
        <f>IF('Livre de paie'!$A58="","",'Livre de paie'!F58)</f>
        <v/>
      </c>
      <c r="AJ58" s="83">
        <f>IF('Livre de paie'!$A58="","",'Livre de paie'!G58)</f>
        <v/>
      </c>
      <c r="AK58" s="83">
        <f>IF('Livre de paie'!$A58="","",'Livre de paie'!H58)</f>
        <v/>
      </c>
      <c r="AL58" s="83">
        <f>IF('Livre de paie'!$A58="","",'Livre de paie'!I58)</f>
        <v/>
      </c>
      <c r="AM58" s="83">
        <f>IF('Livre de paie'!$A58="","",'Livre de paie'!J58)</f>
        <v/>
      </c>
      <c r="AN58" s="83">
        <f>IF('Livre de paie'!$A58="","",'Livre de paie'!K58)</f>
        <v/>
      </c>
      <c r="AO58" s="83">
        <f>IF('Livre de paie'!$A58="","",'Livre de paie'!L58)</f>
        <v/>
      </c>
      <c r="AP58" s="83">
        <f>IF('Livre de paie'!$A58="","",'Livre de paie'!M58)</f>
        <v/>
      </c>
      <c r="AQ58" s="83">
        <f>IF('Livre de paie'!$A58="","",'Livre de paie'!N58)</f>
        <v/>
      </c>
      <c r="AR58" s="83">
        <f>IF('Livre de paie'!$A58="","",'Livre de paie'!O58)</f>
        <v/>
      </c>
      <c r="AS58" s="83">
        <f>IF('Livre de paie'!$A58="","",'Livre de paie'!P58)</f>
        <v/>
      </c>
      <c r="AT58" s="83">
        <f>IF('Livre de paie'!$A58="","",'Livre de paie'!Q58)</f>
        <v/>
      </c>
      <c r="AU58" s="83">
        <f>IF('Livre de paie'!$A58="","",'Livre de paie'!R58)</f>
        <v/>
      </c>
      <c r="AV58" s="83">
        <f>IF('Livre de paie'!$A58="","",'Livre de paie'!S58)</f>
        <v/>
      </c>
      <c r="AW58" s="83">
        <f>IF('Livre de paie'!$A58="","",'Livre de paie'!U58)</f>
        <v/>
      </c>
      <c r="AX58" s="83">
        <f>IF('Livre de paie'!$A58="","",'Livre de paie'!Z58)</f>
        <v/>
      </c>
      <c r="AY58" s="83">
        <f>IF('Livre de paie'!$A58="","",'Livre de paie'!AA58)</f>
        <v/>
      </c>
      <c r="AZ58" s="83">
        <f>IF('Livre de paie'!$A58="","",'Livre de paie'!AB58)</f>
        <v/>
      </c>
      <c r="BA58" s="83">
        <f>IF('Livre de paie'!$A58="","",'Livre de paie'!AC58)</f>
        <v/>
      </c>
      <c r="BB58" s="83">
        <f>IF('Livre de paie'!$A58="","",'Livre de paie'!AD58)</f>
        <v/>
      </c>
      <c r="BC58" s="123">
        <f>IF('Livre de paie'!$A58="","",TODAY())</f>
        <v/>
      </c>
    </row>
    <row r="59" ht="15" customHeight="1" s="71">
      <c r="AC59" s="138">
        <f>IF('Livre de paie'!$A59="","",PERIODE_DATE)</f>
        <v/>
      </c>
      <c r="AD59" s="82">
        <f>IF('Livre de paie'!$A59="","",'Livre de paie'!A59)</f>
        <v/>
      </c>
      <c r="AE59" s="82">
        <f>IF('Livre de paie'!$A59="","",'Livre de paie'!B59)</f>
        <v/>
      </c>
      <c r="AF59" s="82">
        <f>IF('Livre de paie'!$A59="","",'Livre de paie'!C59)</f>
        <v/>
      </c>
      <c r="AG59" s="83">
        <f>IF('Livre de paie'!$A59="","",'Livre de paie'!D59)</f>
        <v/>
      </c>
      <c r="AH59" s="83">
        <f>IF('Livre de paie'!$A59="","",'Livre de paie'!E59)</f>
        <v/>
      </c>
      <c r="AI59" s="83">
        <f>IF('Livre de paie'!$A59="","",'Livre de paie'!F59)</f>
        <v/>
      </c>
      <c r="AJ59" s="83">
        <f>IF('Livre de paie'!$A59="","",'Livre de paie'!G59)</f>
        <v/>
      </c>
      <c r="AK59" s="83">
        <f>IF('Livre de paie'!$A59="","",'Livre de paie'!H59)</f>
        <v/>
      </c>
      <c r="AL59" s="83">
        <f>IF('Livre de paie'!$A59="","",'Livre de paie'!I59)</f>
        <v/>
      </c>
      <c r="AM59" s="83">
        <f>IF('Livre de paie'!$A59="","",'Livre de paie'!J59)</f>
        <v/>
      </c>
      <c r="AN59" s="83">
        <f>IF('Livre de paie'!$A59="","",'Livre de paie'!K59)</f>
        <v/>
      </c>
      <c r="AO59" s="83">
        <f>IF('Livre de paie'!$A59="","",'Livre de paie'!L59)</f>
        <v/>
      </c>
      <c r="AP59" s="83">
        <f>IF('Livre de paie'!$A59="","",'Livre de paie'!M59)</f>
        <v/>
      </c>
      <c r="AQ59" s="83">
        <f>IF('Livre de paie'!$A59="","",'Livre de paie'!N59)</f>
        <v/>
      </c>
      <c r="AR59" s="83">
        <f>IF('Livre de paie'!$A59="","",'Livre de paie'!O59)</f>
        <v/>
      </c>
      <c r="AS59" s="83">
        <f>IF('Livre de paie'!$A59="","",'Livre de paie'!P59)</f>
        <v/>
      </c>
      <c r="AT59" s="83">
        <f>IF('Livre de paie'!$A59="","",'Livre de paie'!Q59)</f>
        <v/>
      </c>
      <c r="AU59" s="83">
        <f>IF('Livre de paie'!$A59="","",'Livre de paie'!R59)</f>
        <v/>
      </c>
      <c r="AV59" s="83">
        <f>IF('Livre de paie'!$A59="","",'Livre de paie'!S59)</f>
        <v/>
      </c>
      <c r="AW59" s="83">
        <f>IF('Livre de paie'!$A59="","",'Livre de paie'!U59)</f>
        <v/>
      </c>
      <c r="AX59" s="83">
        <f>IF('Livre de paie'!$A59="","",'Livre de paie'!Z59)</f>
        <v/>
      </c>
      <c r="AY59" s="83">
        <f>IF('Livre de paie'!$A59="","",'Livre de paie'!AA59)</f>
        <v/>
      </c>
      <c r="AZ59" s="83">
        <f>IF('Livre de paie'!$A59="","",'Livre de paie'!AB59)</f>
        <v/>
      </c>
      <c r="BA59" s="83">
        <f>IF('Livre de paie'!$A59="","",'Livre de paie'!AC59)</f>
        <v/>
      </c>
      <c r="BB59" s="83">
        <f>IF('Livre de paie'!$A59="","",'Livre de paie'!AD59)</f>
        <v/>
      </c>
      <c r="BC59" s="123">
        <f>IF('Livre de paie'!$A59="","",TODAY())</f>
        <v/>
      </c>
    </row>
    <row r="60" ht="15" customHeight="1" s="71">
      <c r="AC60" s="138">
        <f>IF('Livre de paie'!$A60="","",PERIODE_DATE)</f>
        <v/>
      </c>
      <c r="AD60" s="82">
        <f>IF('Livre de paie'!$A60="","",'Livre de paie'!A60)</f>
        <v/>
      </c>
      <c r="AE60" s="82">
        <f>IF('Livre de paie'!$A60="","",'Livre de paie'!B60)</f>
        <v/>
      </c>
      <c r="AF60" s="82">
        <f>IF('Livre de paie'!$A60="","",'Livre de paie'!C60)</f>
        <v/>
      </c>
      <c r="AG60" s="83">
        <f>IF('Livre de paie'!$A60="","",'Livre de paie'!D60)</f>
        <v/>
      </c>
      <c r="AH60" s="83">
        <f>IF('Livre de paie'!$A60="","",'Livre de paie'!E60)</f>
        <v/>
      </c>
      <c r="AI60" s="83">
        <f>IF('Livre de paie'!$A60="","",'Livre de paie'!F60)</f>
        <v/>
      </c>
      <c r="AJ60" s="83">
        <f>IF('Livre de paie'!$A60="","",'Livre de paie'!G60)</f>
        <v/>
      </c>
      <c r="AK60" s="83">
        <f>IF('Livre de paie'!$A60="","",'Livre de paie'!H60)</f>
        <v/>
      </c>
      <c r="AL60" s="83">
        <f>IF('Livre de paie'!$A60="","",'Livre de paie'!I60)</f>
        <v/>
      </c>
      <c r="AM60" s="83">
        <f>IF('Livre de paie'!$A60="","",'Livre de paie'!J60)</f>
        <v/>
      </c>
      <c r="AN60" s="83">
        <f>IF('Livre de paie'!$A60="","",'Livre de paie'!K60)</f>
        <v/>
      </c>
      <c r="AO60" s="83">
        <f>IF('Livre de paie'!$A60="","",'Livre de paie'!L60)</f>
        <v/>
      </c>
      <c r="AP60" s="83">
        <f>IF('Livre de paie'!$A60="","",'Livre de paie'!M60)</f>
        <v/>
      </c>
      <c r="AQ60" s="83">
        <f>IF('Livre de paie'!$A60="","",'Livre de paie'!N60)</f>
        <v/>
      </c>
      <c r="AR60" s="83">
        <f>IF('Livre de paie'!$A60="","",'Livre de paie'!O60)</f>
        <v/>
      </c>
      <c r="AS60" s="83">
        <f>IF('Livre de paie'!$A60="","",'Livre de paie'!P60)</f>
        <v/>
      </c>
      <c r="AT60" s="83">
        <f>IF('Livre de paie'!$A60="","",'Livre de paie'!Q60)</f>
        <v/>
      </c>
      <c r="AU60" s="83">
        <f>IF('Livre de paie'!$A60="","",'Livre de paie'!R60)</f>
        <v/>
      </c>
      <c r="AV60" s="83">
        <f>IF('Livre de paie'!$A60="","",'Livre de paie'!S60)</f>
        <v/>
      </c>
      <c r="AW60" s="83">
        <f>IF('Livre de paie'!$A60="","",'Livre de paie'!U60)</f>
        <v/>
      </c>
      <c r="AX60" s="83">
        <f>IF('Livre de paie'!$A60="","",'Livre de paie'!Z60)</f>
        <v/>
      </c>
      <c r="AY60" s="83">
        <f>IF('Livre de paie'!$A60="","",'Livre de paie'!AA60)</f>
        <v/>
      </c>
      <c r="AZ60" s="83">
        <f>IF('Livre de paie'!$A60="","",'Livre de paie'!AB60)</f>
        <v/>
      </c>
      <c r="BA60" s="83">
        <f>IF('Livre de paie'!$A60="","",'Livre de paie'!AC60)</f>
        <v/>
      </c>
      <c r="BB60" s="83">
        <f>IF('Livre de paie'!$A60="","",'Livre de paie'!AD60)</f>
        <v/>
      </c>
      <c r="BC60" s="123">
        <f>IF('Livre de paie'!$A60="","",TODAY())</f>
        <v/>
      </c>
    </row>
    <row r="61" ht="15" customHeight="1" s="71">
      <c r="AC61" s="138">
        <f>IF('Livre de paie'!$A61="","",PERIODE_DATE)</f>
        <v/>
      </c>
      <c r="AD61" s="82">
        <f>IF('Livre de paie'!$A61="","",'Livre de paie'!A61)</f>
        <v/>
      </c>
      <c r="AE61" s="82">
        <f>IF('Livre de paie'!$A61="","",'Livre de paie'!B61)</f>
        <v/>
      </c>
      <c r="AF61" s="82">
        <f>IF('Livre de paie'!$A61="","",'Livre de paie'!C61)</f>
        <v/>
      </c>
      <c r="AG61" s="83">
        <f>IF('Livre de paie'!$A61="","",'Livre de paie'!D61)</f>
        <v/>
      </c>
      <c r="AH61" s="83">
        <f>IF('Livre de paie'!$A61="","",'Livre de paie'!E61)</f>
        <v/>
      </c>
      <c r="AI61" s="83">
        <f>IF('Livre de paie'!$A61="","",'Livre de paie'!F61)</f>
        <v/>
      </c>
      <c r="AJ61" s="83">
        <f>IF('Livre de paie'!$A61="","",'Livre de paie'!G61)</f>
        <v/>
      </c>
      <c r="AK61" s="83">
        <f>IF('Livre de paie'!$A61="","",'Livre de paie'!H61)</f>
        <v/>
      </c>
      <c r="AL61" s="83">
        <f>IF('Livre de paie'!$A61="","",'Livre de paie'!I61)</f>
        <v/>
      </c>
      <c r="AM61" s="83">
        <f>IF('Livre de paie'!$A61="","",'Livre de paie'!J61)</f>
        <v/>
      </c>
      <c r="AN61" s="83">
        <f>IF('Livre de paie'!$A61="","",'Livre de paie'!K61)</f>
        <v/>
      </c>
      <c r="AO61" s="83">
        <f>IF('Livre de paie'!$A61="","",'Livre de paie'!L61)</f>
        <v/>
      </c>
      <c r="AP61" s="83">
        <f>IF('Livre de paie'!$A61="","",'Livre de paie'!M61)</f>
        <v/>
      </c>
      <c r="AQ61" s="83">
        <f>IF('Livre de paie'!$A61="","",'Livre de paie'!N61)</f>
        <v/>
      </c>
      <c r="AR61" s="83">
        <f>IF('Livre de paie'!$A61="","",'Livre de paie'!O61)</f>
        <v/>
      </c>
      <c r="AS61" s="83">
        <f>IF('Livre de paie'!$A61="","",'Livre de paie'!P61)</f>
        <v/>
      </c>
      <c r="AT61" s="83">
        <f>IF('Livre de paie'!$A61="","",'Livre de paie'!Q61)</f>
        <v/>
      </c>
      <c r="AU61" s="83">
        <f>IF('Livre de paie'!$A61="","",'Livre de paie'!R61)</f>
        <v/>
      </c>
      <c r="AV61" s="83">
        <f>IF('Livre de paie'!$A61="","",'Livre de paie'!S61)</f>
        <v/>
      </c>
      <c r="AW61" s="83">
        <f>IF('Livre de paie'!$A61="","",'Livre de paie'!U61)</f>
        <v/>
      </c>
      <c r="AX61" s="83">
        <f>IF('Livre de paie'!$A61="","",'Livre de paie'!Z61)</f>
        <v/>
      </c>
      <c r="AY61" s="83">
        <f>IF('Livre de paie'!$A61="","",'Livre de paie'!AA61)</f>
        <v/>
      </c>
      <c r="AZ61" s="83">
        <f>IF('Livre de paie'!$A61="","",'Livre de paie'!AB61)</f>
        <v/>
      </c>
      <c r="BA61" s="83">
        <f>IF('Livre de paie'!$A61="","",'Livre de paie'!AC61)</f>
        <v/>
      </c>
      <c r="BB61" s="83">
        <f>IF('Livre de paie'!$A61="","",'Livre de paie'!AD61)</f>
        <v/>
      </c>
      <c r="BC61" s="123">
        <f>IF('Livre de paie'!$A61="","",TODAY())</f>
        <v/>
      </c>
    </row>
    <row r="62" ht="15" customHeight="1" s="71">
      <c r="AC62" s="138">
        <f>IF('Livre de paie'!$A62="","",PERIODE_DATE)</f>
        <v/>
      </c>
      <c r="AD62" s="82">
        <f>IF('Livre de paie'!$A62="","",'Livre de paie'!A62)</f>
        <v/>
      </c>
      <c r="AE62" s="82">
        <f>IF('Livre de paie'!$A62="","",'Livre de paie'!B62)</f>
        <v/>
      </c>
      <c r="AF62" s="82">
        <f>IF('Livre de paie'!$A62="","",'Livre de paie'!C62)</f>
        <v/>
      </c>
      <c r="AG62" s="83">
        <f>IF('Livre de paie'!$A62="","",'Livre de paie'!D62)</f>
        <v/>
      </c>
      <c r="AH62" s="83">
        <f>IF('Livre de paie'!$A62="","",'Livre de paie'!E62)</f>
        <v/>
      </c>
      <c r="AI62" s="83">
        <f>IF('Livre de paie'!$A62="","",'Livre de paie'!F62)</f>
        <v/>
      </c>
      <c r="AJ62" s="83">
        <f>IF('Livre de paie'!$A62="","",'Livre de paie'!G62)</f>
        <v/>
      </c>
      <c r="AK62" s="83">
        <f>IF('Livre de paie'!$A62="","",'Livre de paie'!H62)</f>
        <v/>
      </c>
      <c r="AL62" s="83">
        <f>IF('Livre de paie'!$A62="","",'Livre de paie'!I62)</f>
        <v/>
      </c>
      <c r="AM62" s="83">
        <f>IF('Livre de paie'!$A62="","",'Livre de paie'!J62)</f>
        <v/>
      </c>
      <c r="AN62" s="83">
        <f>IF('Livre de paie'!$A62="","",'Livre de paie'!K62)</f>
        <v/>
      </c>
      <c r="AO62" s="83">
        <f>IF('Livre de paie'!$A62="","",'Livre de paie'!L62)</f>
        <v/>
      </c>
      <c r="AP62" s="83">
        <f>IF('Livre de paie'!$A62="","",'Livre de paie'!M62)</f>
        <v/>
      </c>
      <c r="AQ62" s="83">
        <f>IF('Livre de paie'!$A62="","",'Livre de paie'!N62)</f>
        <v/>
      </c>
      <c r="AR62" s="83">
        <f>IF('Livre de paie'!$A62="","",'Livre de paie'!O62)</f>
        <v/>
      </c>
      <c r="AS62" s="83">
        <f>IF('Livre de paie'!$A62="","",'Livre de paie'!P62)</f>
        <v/>
      </c>
      <c r="AT62" s="83">
        <f>IF('Livre de paie'!$A62="","",'Livre de paie'!Q62)</f>
        <v/>
      </c>
      <c r="AU62" s="83">
        <f>IF('Livre de paie'!$A62="","",'Livre de paie'!R62)</f>
        <v/>
      </c>
      <c r="AV62" s="83">
        <f>IF('Livre de paie'!$A62="","",'Livre de paie'!S62)</f>
        <v/>
      </c>
      <c r="AW62" s="83">
        <f>IF('Livre de paie'!$A62="","",'Livre de paie'!U62)</f>
        <v/>
      </c>
      <c r="AX62" s="83">
        <f>IF('Livre de paie'!$A62="","",'Livre de paie'!Z62)</f>
        <v/>
      </c>
      <c r="AY62" s="83">
        <f>IF('Livre de paie'!$A62="","",'Livre de paie'!AA62)</f>
        <v/>
      </c>
      <c r="AZ62" s="83">
        <f>IF('Livre de paie'!$A62="","",'Livre de paie'!AB62)</f>
        <v/>
      </c>
      <c r="BA62" s="83">
        <f>IF('Livre de paie'!$A62="","",'Livre de paie'!AC62)</f>
        <v/>
      </c>
      <c r="BB62" s="83">
        <f>IF('Livre de paie'!$A62="","",'Livre de paie'!AD62)</f>
        <v/>
      </c>
      <c r="BC62" s="123">
        <f>IF('Livre de paie'!$A62="","",TODAY())</f>
        <v/>
      </c>
    </row>
    <row r="63" ht="15" customHeight="1" s="71">
      <c r="AC63" s="138">
        <f>IF('Livre de paie'!$A63="","",PERIODE_DATE)</f>
        <v/>
      </c>
      <c r="AD63" s="82">
        <f>IF('Livre de paie'!$A63="","",'Livre de paie'!A63)</f>
        <v/>
      </c>
      <c r="AE63" s="82">
        <f>IF('Livre de paie'!$A63="","",'Livre de paie'!B63)</f>
        <v/>
      </c>
      <c r="AF63" s="82">
        <f>IF('Livre de paie'!$A63="","",'Livre de paie'!C63)</f>
        <v/>
      </c>
      <c r="AG63" s="83">
        <f>IF('Livre de paie'!$A63="","",'Livre de paie'!D63)</f>
        <v/>
      </c>
      <c r="AH63" s="83">
        <f>IF('Livre de paie'!$A63="","",'Livre de paie'!E63)</f>
        <v/>
      </c>
      <c r="AI63" s="83">
        <f>IF('Livre de paie'!$A63="","",'Livre de paie'!F63)</f>
        <v/>
      </c>
      <c r="AJ63" s="83">
        <f>IF('Livre de paie'!$A63="","",'Livre de paie'!G63)</f>
        <v/>
      </c>
      <c r="AK63" s="83">
        <f>IF('Livre de paie'!$A63="","",'Livre de paie'!H63)</f>
        <v/>
      </c>
      <c r="AL63" s="83">
        <f>IF('Livre de paie'!$A63="","",'Livre de paie'!I63)</f>
        <v/>
      </c>
      <c r="AM63" s="83">
        <f>IF('Livre de paie'!$A63="","",'Livre de paie'!J63)</f>
        <v/>
      </c>
      <c r="AN63" s="83">
        <f>IF('Livre de paie'!$A63="","",'Livre de paie'!K63)</f>
        <v/>
      </c>
      <c r="AO63" s="83">
        <f>IF('Livre de paie'!$A63="","",'Livre de paie'!L63)</f>
        <v/>
      </c>
      <c r="AP63" s="83">
        <f>IF('Livre de paie'!$A63="","",'Livre de paie'!M63)</f>
        <v/>
      </c>
      <c r="AQ63" s="83">
        <f>IF('Livre de paie'!$A63="","",'Livre de paie'!N63)</f>
        <v/>
      </c>
      <c r="AR63" s="83">
        <f>IF('Livre de paie'!$A63="","",'Livre de paie'!O63)</f>
        <v/>
      </c>
      <c r="AS63" s="83">
        <f>IF('Livre de paie'!$A63="","",'Livre de paie'!P63)</f>
        <v/>
      </c>
      <c r="AT63" s="83">
        <f>IF('Livre de paie'!$A63="","",'Livre de paie'!Q63)</f>
        <v/>
      </c>
      <c r="AU63" s="83">
        <f>IF('Livre de paie'!$A63="","",'Livre de paie'!R63)</f>
        <v/>
      </c>
      <c r="AV63" s="83">
        <f>IF('Livre de paie'!$A63="","",'Livre de paie'!S63)</f>
        <v/>
      </c>
      <c r="AW63" s="83">
        <f>IF('Livre de paie'!$A63="","",'Livre de paie'!U63)</f>
        <v/>
      </c>
      <c r="AX63" s="83">
        <f>IF('Livre de paie'!$A63="","",'Livre de paie'!Z63)</f>
        <v/>
      </c>
      <c r="AY63" s="83">
        <f>IF('Livre de paie'!$A63="","",'Livre de paie'!AA63)</f>
        <v/>
      </c>
      <c r="AZ63" s="83">
        <f>IF('Livre de paie'!$A63="","",'Livre de paie'!AB63)</f>
        <v/>
      </c>
      <c r="BA63" s="83">
        <f>IF('Livre de paie'!$A63="","",'Livre de paie'!AC63)</f>
        <v/>
      </c>
      <c r="BB63" s="83">
        <f>IF('Livre de paie'!$A63="","",'Livre de paie'!AD63)</f>
        <v/>
      </c>
      <c r="BC63" s="123">
        <f>IF('Livre de paie'!$A63="","",TODAY())</f>
        <v/>
      </c>
    </row>
    <row r="64" ht="15" customHeight="1" s="71">
      <c r="AC64" s="138">
        <f>IF('Livre de paie'!$A64="","",PERIODE_DATE)</f>
        <v/>
      </c>
      <c r="AD64" s="82">
        <f>IF('Livre de paie'!$A64="","",'Livre de paie'!A64)</f>
        <v/>
      </c>
      <c r="AE64" s="82">
        <f>IF('Livre de paie'!$A64="","",'Livre de paie'!B64)</f>
        <v/>
      </c>
      <c r="AF64" s="82">
        <f>IF('Livre de paie'!$A64="","",'Livre de paie'!C64)</f>
        <v/>
      </c>
      <c r="AG64" s="83">
        <f>IF('Livre de paie'!$A64="","",'Livre de paie'!D64)</f>
        <v/>
      </c>
      <c r="AH64" s="83">
        <f>IF('Livre de paie'!$A64="","",'Livre de paie'!E64)</f>
        <v/>
      </c>
      <c r="AI64" s="83">
        <f>IF('Livre de paie'!$A64="","",'Livre de paie'!F64)</f>
        <v/>
      </c>
      <c r="AJ64" s="83">
        <f>IF('Livre de paie'!$A64="","",'Livre de paie'!G64)</f>
        <v/>
      </c>
      <c r="AK64" s="83">
        <f>IF('Livre de paie'!$A64="","",'Livre de paie'!H64)</f>
        <v/>
      </c>
      <c r="AL64" s="83">
        <f>IF('Livre de paie'!$A64="","",'Livre de paie'!I64)</f>
        <v/>
      </c>
      <c r="AM64" s="83">
        <f>IF('Livre de paie'!$A64="","",'Livre de paie'!J64)</f>
        <v/>
      </c>
      <c r="AN64" s="83">
        <f>IF('Livre de paie'!$A64="","",'Livre de paie'!K64)</f>
        <v/>
      </c>
      <c r="AO64" s="83">
        <f>IF('Livre de paie'!$A64="","",'Livre de paie'!L64)</f>
        <v/>
      </c>
      <c r="AP64" s="83">
        <f>IF('Livre de paie'!$A64="","",'Livre de paie'!M64)</f>
        <v/>
      </c>
      <c r="AQ64" s="83">
        <f>IF('Livre de paie'!$A64="","",'Livre de paie'!N64)</f>
        <v/>
      </c>
      <c r="AR64" s="83">
        <f>IF('Livre de paie'!$A64="","",'Livre de paie'!O64)</f>
        <v/>
      </c>
      <c r="AS64" s="83">
        <f>IF('Livre de paie'!$A64="","",'Livre de paie'!P64)</f>
        <v/>
      </c>
      <c r="AT64" s="83">
        <f>IF('Livre de paie'!$A64="","",'Livre de paie'!Q64)</f>
        <v/>
      </c>
      <c r="AU64" s="83">
        <f>IF('Livre de paie'!$A64="","",'Livre de paie'!R64)</f>
        <v/>
      </c>
      <c r="AV64" s="83">
        <f>IF('Livre de paie'!$A64="","",'Livre de paie'!S64)</f>
        <v/>
      </c>
      <c r="AW64" s="83">
        <f>IF('Livre de paie'!$A64="","",'Livre de paie'!U64)</f>
        <v/>
      </c>
      <c r="AX64" s="83">
        <f>IF('Livre de paie'!$A64="","",'Livre de paie'!Z64)</f>
        <v/>
      </c>
      <c r="AY64" s="83">
        <f>IF('Livre de paie'!$A64="","",'Livre de paie'!AA64)</f>
        <v/>
      </c>
      <c r="AZ64" s="83">
        <f>IF('Livre de paie'!$A64="","",'Livre de paie'!AB64)</f>
        <v/>
      </c>
      <c r="BA64" s="83">
        <f>IF('Livre de paie'!$A64="","",'Livre de paie'!AC64)</f>
        <v/>
      </c>
      <c r="BB64" s="83">
        <f>IF('Livre de paie'!$A64="","",'Livre de paie'!AD64)</f>
        <v/>
      </c>
      <c r="BC64" s="123">
        <f>IF('Livre de paie'!$A64="","",TODAY())</f>
        <v/>
      </c>
    </row>
  </sheetData>
  <mergeCells count="5">
    <mergeCell ref="AC3:BC3"/>
    <mergeCell ref="A2:AA2"/>
    <mergeCell ref="AC2:BC2"/>
    <mergeCell ref="AC1:BC1"/>
    <mergeCell ref="A1:AA1"/>
  </mergeCell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9.xml><?xml version="1.0" encoding="utf-8"?>
<worksheet xmlns="http://schemas.openxmlformats.org/spreadsheetml/2006/main">
  <sheetPr filterMode="0">
    <outlinePr summaryBelow="1" summaryRight="1"/>
    <pageSetUpPr fitToPage="0"/>
  </sheetPr>
  <dimension ref="A1:K74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71484375" defaultRowHeight="15" zeroHeight="0" outlineLevelRow="0"/>
  <cols>
    <col width="12" customWidth="1" style="70" min="1" max="1"/>
    <col width="32" customWidth="1" style="70" min="2" max="2"/>
    <col width="14" customWidth="1" style="70" min="3" max="3"/>
    <col width="13" customWidth="1" style="70" min="4" max="11"/>
  </cols>
  <sheetData>
    <row r="1" ht="15.75" customHeight="1" s="71">
      <c r="A1" s="99">
        <f>"DÉCLARATION CNPS MENSUELLE (DIPE) — ECLOSION EDITION SARL — "&amp;PERIODE_LIBELLE</f>
        <v/>
      </c>
    </row>
    <row r="2" ht="15" customHeight="1" s="71">
      <c r="A2" s="106" t="inlineStr">
        <is>
          <t>N° Affiliation CNPS : C-YAO-2019-0144 · RCCM : RC/YAO/2019/B/144 · Généré automatiquement depuis le Livre de paie — les taux affichés suivent les Paramètres.</t>
        </is>
      </c>
    </row>
    <row r="4" ht="18.75" customHeight="1" s="71">
      <c r="A4" s="107" t="inlineStr">
        <is>
          <t>Matricule</t>
        </is>
      </c>
      <c r="B4" s="107" t="inlineStr">
        <is>
          <t>Nom &amp; Prénom</t>
        </is>
      </c>
      <c r="C4" s="107" t="inlineStr">
        <is>
          <t>N° CNPS</t>
        </is>
      </c>
      <c r="D4" s="107" t="inlineStr">
        <is>
          <t>Assiette CNPS plafonnée</t>
        </is>
      </c>
      <c r="E4" s="107">
        <f>"PVID salarié ("&amp;ROUND(TX_VID_SAL*100,2)&amp;"%)"</f>
        <v/>
      </c>
      <c r="F4" s="107">
        <f>"PVID patronal ("&amp;ROUND(TX_VID_PAT*100,2)&amp;"%)"</f>
        <v/>
      </c>
      <c r="G4" s="107">
        <f>"Prest. familiales ("&amp;ROUND(TX_PF*100,2)&amp;"%)"</f>
        <v/>
      </c>
      <c r="H4" s="107">
        <f>"Accidents travail ("&amp;ROUND(TX_AT*100,2)&amp;"%)"</f>
        <v/>
      </c>
      <c r="I4" s="107">
        <f>"Total cotisation salariale"</f>
        <v/>
      </c>
      <c r="J4" s="107">
        <f>"Total cotisation patronale"</f>
        <v/>
      </c>
      <c r="K4" s="107">
        <f>"TOTAL CNPS À VERSER"</f>
        <v/>
      </c>
    </row>
    <row r="5" ht="15" customHeight="1" s="71">
      <c r="A5" s="82">
        <f>IF('Livre de paie'!A5="","",'Livre de paie'!A5)</f>
        <v/>
      </c>
      <c r="B5" s="82">
        <f>IF($A5="","",'Livre de paie'!B5)</f>
        <v/>
      </c>
      <c r="C5" s="82">
        <f>IF($A5="","",IFERROR(VLOOKUP($A5,Employés!$A:$G,7,0),""))</f>
        <v/>
      </c>
      <c r="D5" s="83">
        <f>IF($A5="","",'Livre de paie'!J5)</f>
        <v/>
      </c>
      <c r="E5" s="83">
        <f>IF($A5="","",'Livre de paie'!K5)</f>
        <v/>
      </c>
      <c r="F5" s="83">
        <f>IF($A5="","",'Livre de paie'!L5)</f>
        <v/>
      </c>
      <c r="G5" s="83">
        <f>IF($A5="","",'Livre de paie'!M5)</f>
        <v/>
      </c>
      <c r="H5" s="83">
        <f>IF($A5="","",'Livre de paie'!N5)</f>
        <v/>
      </c>
      <c r="I5" s="83">
        <f>IF($A5="","",E5)</f>
        <v/>
      </c>
      <c r="J5" s="83">
        <f>IF($A5="","",F5+G5+H5)</f>
        <v/>
      </c>
      <c r="K5" s="83">
        <f>IF($A5="","",I5+J5)</f>
        <v/>
      </c>
    </row>
    <row r="6" ht="15" customHeight="1" s="71">
      <c r="A6" s="82">
        <f>IF('Livre de paie'!A6="","",'Livre de paie'!A6)</f>
        <v/>
      </c>
      <c r="B6" s="82">
        <f>IF($A6="","",'Livre de paie'!B6)</f>
        <v/>
      </c>
      <c r="C6" s="82">
        <f>IF($A6="","",IFERROR(VLOOKUP($A6,Employés!$A:$G,7,0),""))</f>
        <v/>
      </c>
      <c r="D6" s="83">
        <f>IF($A6="","",'Livre de paie'!J6)</f>
        <v/>
      </c>
      <c r="E6" s="83">
        <f>IF($A6="","",'Livre de paie'!K6)</f>
        <v/>
      </c>
      <c r="F6" s="83">
        <f>IF($A6="","",'Livre de paie'!L6)</f>
        <v/>
      </c>
      <c r="G6" s="83">
        <f>IF($A6="","",'Livre de paie'!M6)</f>
        <v/>
      </c>
      <c r="H6" s="83">
        <f>IF($A6="","",'Livre de paie'!N6)</f>
        <v/>
      </c>
      <c r="I6" s="83">
        <f>IF($A6="","",E6)</f>
        <v/>
      </c>
      <c r="J6" s="83">
        <f>IF($A6="","",F6+G6+H6)</f>
        <v/>
      </c>
      <c r="K6" s="83">
        <f>IF($A6="","",I6+J6)</f>
        <v/>
      </c>
    </row>
    <row r="7" ht="15" customHeight="1" s="71">
      <c r="A7" s="82">
        <f>IF('Livre de paie'!A7="","",'Livre de paie'!A7)</f>
        <v/>
      </c>
      <c r="B7" s="82">
        <f>IF($A7="","",'Livre de paie'!B7)</f>
        <v/>
      </c>
      <c r="C7" s="82">
        <f>IF($A7="","",IFERROR(VLOOKUP($A7,Employés!$A:$G,7,0),""))</f>
        <v/>
      </c>
      <c r="D7" s="83">
        <f>IF($A7="","",'Livre de paie'!J7)</f>
        <v/>
      </c>
      <c r="E7" s="83">
        <f>IF($A7="","",'Livre de paie'!K7)</f>
        <v/>
      </c>
      <c r="F7" s="83">
        <f>IF($A7="","",'Livre de paie'!L7)</f>
        <v/>
      </c>
      <c r="G7" s="83">
        <f>IF($A7="","",'Livre de paie'!M7)</f>
        <v/>
      </c>
      <c r="H7" s="83">
        <f>IF($A7="","",'Livre de paie'!N7)</f>
        <v/>
      </c>
      <c r="I7" s="83">
        <f>IF($A7="","",E7)</f>
        <v/>
      </c>
      <c r="J7" s="83">
        <f>IF($A7="","",F7+G7+H7)</f>
        <v/>
      </c>
      <c r="K7" s="83">
        <f>IF($A7="","",I7+J7)</f>
        <v/>
      </c>
    </row>
    <row r="8" ht="15" customHeight="1" s="71">
      <c r="A8" s="82">
        <f>IF('Livre de paie'!A8="","",'Livre de paie'!A8)</f>
        <v/>
      </c>
      <c r="B8" s="82">
        <f>IF($A8="","",'Livre de paie'!B8)</f>
        <v/>
      </c>
      <c r="C8" s="82">
        <f>IF($A8="","",IFERROR(VLOOKUP($A8,Employés!$A:$G,7,0),""))</f>
        <v/>
      </c>
      <c r="D8" s="83">
        <f>IF($A8="","",'Livre de paie'!J8)</f>
        <v/>
      </c>
      <c r="E8" s="83">
        <f>IF($A8="","",'Livre de paie'!K8)</f>
        <v/>
      </c>
      <c r="F8" s="83">
        <f>IF($A8="","",'Livre de paie'!L8)</f>
        <v/>
      </c>
      <c r="G8" s="83">
        <f>IF($A8="","",'Livre de paie'!M8)</f>
        <v/>
      </c>
      <c r="H8" s="83">
        <f>IF($A8="","",'Livre de paie'!N8)</f>
        <v/>
      </c>
      <c r="I8" s="83">
        <f>IF($A8="","",E8)</f>
        <v/>
      </c>
      <c r="J8" s="83">
        <f>IF($A8="","",F8+G8+H8)</f>
        <v/>
      </c>
      <c r="K8" s="83">
        <f>IF($A8="","",I8+J8)</f>
        <v/>
      </c>
    </row>
    <row r="9" ht="15" customHeight="1" s="71">
      <c r="A9" s="82">
        <f>IF('Livre de paie'!A9="","",'Livre de paie'!A9)</f>
        <v/>
      </c>
      <c r="B9" s="82">
        <f>IF($A9="","",'Livre de paie'!B9)</f>
        <v/>
      </c>
      <c r="C9" s="82">
        <f>IF($A9="","",IFERROR(VLOOKUP($A9,Employés!$A:$G,7,0),""))</f>
        <v/>
      </c>
      <c r="D9" s="83">
        <f>IF($A9="","",'Livre de paie'!J9)</f>
        <v/>
      </c>
      <c r="E9" s="83">
        <f>IF($A9="","",'Livre de paie'!K9)</f>
        <v/>
      </c>
      <c r="F9" s="83">
        <f>IF($A9="","",'Livre de paie'!L9)</f>
        <v/>
      </c>
      <c r="G9" s="83">
        <f>IF($A9="","",'Livre de paie'!M9)</f>
        <v/>
      </c>
      <c r="H9" s="83">
        <f>IF($A9="","",'Livre de paie'!N9)</f>
        <v/>
      </c>
      <c r="I9" s="83">
        <f>IF($A9="","",E9)</f>
        <v/>
      </c>
      <c r="J9" s="83">
        <f>IF($A9="","",F9+G9+H9)</f>
        <v/>
      </c>
      <c r="K9" s="83">
        <f>IF($A9="","",I9+J9)</f>
        <v/>
      </c>
    </row>
    <row r="10" ht="15" customHeight="1" s="71">
      <c r="A10" s="82">
        <f>IF('Livre de paie'!A10="","",'Livre de paie'!A10)</f>
        <v/>
      </c>
      <c r="B10" s="82">
        <f>IF($A10="","",'Livre de paie'!B10)</f>
        <v/>
      </c>
      <c r="C10" s="82">
        <f>IF($A10="","",IFERROR(VLOOKUP($A10,Employés!$A:$G,7,0),""))</f>
        <v/>
      </c>
      <c r="D10" s="83">
        <f>IF($A10="","",'Livre de paie'!J10)</f>
        <v/>
      </c>
      <c r="E10" s="83">
        <f>IF($A10="","",'Livre de paie'!K10)</f>
        <v/>
      </c>
      <c r="F10" s="83">
        <f>IF($A10="","",'Livre de paie'!L10)</f>
        <v/>
      </c>
      <c r="G10" s="83">
        <f>IF($A10="","",'Livre de paie'!M10)</f>
        <v/>
      </c>
      <c r="H10" s="83">
        <f>IF($A10="","",'Livre de paie'!N10)</f>
        <v/>
      </c>
      <c r="I10" s="83">
        <f>IF($A10="","",E10)</f>
        <v/>
      </c>
      <c r="J10" s="83">
        <f>IF($A10="","",F10+G10+H10)</f>
        <v/>
      </c>
      <c r="K10" s="83">
        <f>IF($A10="","",I10+J10)</f>
        <v/>
      </c>
    </row>
    <row r="11" ht="15" customHeight="1" s="71">
      <c r="A11" s="82">
        <f>IF('Livre de paie'!A11="","",'Livre de paie'!A11)</f>
        <v/>
      </c>
      <c r="B11" s="82">
        <f>IF($A11="","",'Livre de paie'!B11)</f>
        <v/>
      </c>
      <c r="C11" s="82">
        <f>IF($A11="","",IFERROR(VLOOKUP($A11,Employés!$A:$G,7,0),""))</f>
        <v/>
      </c>
      <c r="D11" s="83">
        <f>IF($A11="","",'Livre de paie'!J11)</f>
        <v/>
      </c>
      <c r="E11" s="83">
        <f>IF($A11="","",'Livre de paie'!K11)</f>
        <v/>
      </c>
      <c r="F11" s="83">
        <f>IF($A11="","",'Livre de paie'!L11)</f>
        <v/>
      </c>
      <c r="G11" s="83">
        <f>IF($A11="","",'Livre de paie'!M11)</f>
        <v/>
      </c>
      <c r="H11" s="83">
        <f>IF($A11="","",'Livre de paie'!N11)</f>
        <v/>
      </c>
      <c r="I11" s="83">
        <f>IF($A11="","",E11)</f>
        <v/>
      </c>
      <c r="J11" s="83">
        <f>IF($A11="","",F11+G11+H11)</f>
        <v/>
      </c>
      <c r="K11" s="83">
        <f>IF($A11="","",I11+J11)</f>
        <v/>
      </c>
    </row>
    <row r="12" ht="15" customHeight="1" s="71">
      <c r="A12" s="82">
        <f>IF('Livre de paie'!A12="","",'Livre de paie'!A12)</f>
        <v/>
      </c>
      <c r="B12" s="82">
        <f>IF($A12="","",'Livre de paie'!B12)</f>
        <v/>
      </c>
      <c r="C12" s="82">
        <f>IF($A12="","",IFERROR(VLOOKUP($A12,Employés!$A:$G,7,0),""))</f>
        <v/>
      </c>
      <c r="D12" s="83">
        <f>IF($A12="","",'Livre de paie'!J12)</f>
        <v/>
      </c>
      <c r="E12" s="83">
        <f>IF($A12="","",'Livre de paie'!K12)</f>
        <v/>
      </c>
      <c r="F12" s="83">
        <f>IF($A12="","",'Livre de paie'!L12)</f>
        <v/>
      </c>
      <c r="G12" s="83">
        <f>IF($A12="","",'Livre de paie'!M12)</f>
        <v/>
      </c>
      <c r="H12" s="83">
        <f>IF($A12="","",'Livre de paie'!N12)</f>
        <v/>
      </c>
      <c r="I12" s="83">
        <f>IF($A12="","",E12)</f>
        <v/>
      </c>
      <c r="J12" s="83">
        <f>IF($A12="","",F12+G12+H12)</f>
        <v/>
      </c>
      <c r="K12" s="83">
        <f>IF($A12="","",I12+J12)</f>
        <v/>
      </c>
    </row>
    <row r="13" ht="15" customHeight="1" s="71">
      <c r="A13" s="82">
        <f>IF('Livre de paie'!A13="","",'Livre de paie'!A13)</f>
        <v/>
      </c>
      <c r="B13" s="82">
        <f>IF($A13="","",'Livre de paie'!B13)</f>
        <v/>
      </c>
      <c r="C13" s="82">
        <f>IF($A13="","",IFERROR(VLOOKUP($A13,Employés!$A:$G,7,0),""))</f>
        <v/>
      </c>
      <c r="D13" s="83">
        <f>IF($A13="","",'Livre de paie'!J13)</f>
        <v/>
      </c>
      <c r="E13" s="83">
        <f>IF($A13="","",'Livre de paie'!K13)</f>
        <v/>
      </c>
      <c r="F13" s="83">
        <f>IF($A13="","",'Livre de paie'!L13)</f>
        <v/>
      </c>
      <c r="G13" s="83">
        <f>IF($A13="","",'Livre de paie'!M13)</f>
        <v/>
      </c>
      <c r="H13" s="83">
        <f>IF($A13="","",'Livre de paie'!N13)</f>
        <v/>
      </c>
      <c r="I13" s="83">
        <f>IF($A13="","",E13)</f>
        <v/>
      </c>
      <c r="J13" s="83">
        <f>IF($A13="","",F13+G13+H13)</f>
        <v/>
      </c>
      <c r="K13" s="83">
        <f>IF($A13="","",I13+J13)</f>
        <v/>
      </c>
    </row>
    <row r="14" ht="15" customHeight="1" s="71">
      <c r="A14" s="82">
        <f>IF('Livre de paie'!A14="","",'Livre de paie'!A14)</f>
        <v/>
      </c>
      <c r="B14" s="82">
        <f>IF($A14="","",'Livre de paie'!B14)</f>
        <v/>
      </c>
      <c r="C14" s="82">
        <f>IF($A14="","",IFERROR(VLOOKUP($A14,Employés!$A:$G,7,0),""))</f>
        <v/>
      </c>
      <c r="D14" s="83">
        <f>IF($A14="","",'Livre de paie'!J14)</f>
        <v/>
      </c>
      <c r="E14" s="83">
        <f>IF($A14="","",'Livre de paie'!K14)</f>
        <v/>
      </c>
      <c r="F14" s="83">
        <f>IF($A14="","",'Livre de paie'!L14)</f>
        <v/>
      </c>
      <c r="G14" s="83">
        <f>IF($A14="","",'Livre de paie'!M14)</f>
        <v/>
      </c>
      <c r="H14" s="83">
        <f>IF($A14="","",'Livre de paie'!N14)</f>
        <v/>
      </c>
      <c r="I14" s="83">
        <f>IF($A14="","",E14)</f>
        <v/>
      </c>
      <c r="J14" s="83">
        <f>IF($A14="","",F14+G14+H14)</f>
        <v/>
      </c>
      <c r="K14" s="83">
        <f>IF($A14="","",I14+J14)</f>
        <v/>
      </c>
    </row>
    <row r="15" ht="15" customHeight="1" s="71">
      <c r="A15" s="82">
        <f>IF('Livre de paie'!A15="","",'Livre de paie'!A15)</f>
        <v/>
      </c>
      <c r="B15" s="82">
        <f>IF($A15="","",'Livre de paie'!B15)</f>
        <v/>
      </c>
      <c r="C15" s="82">
        <f>IF($A15="","",IFERROR(VLOOKUP($A15,Employés!$A:$G,7,0),""))</f>
        <v/>
      </c>
      <c r="D15" s="83">
        <f>IF($A15="","",'Livre de paie'!J15)</f>
        <v/>
      </c>
      <c r="E15" s="83">
        <f>IF($A15="","",'Livre de paie'!K15)</f>
        <v/>
      </c>
      <c r="F15" s="83">
        <f>IF($A15="","",'Livre de paie'!L15)</f>
        <v/>
      </c>
      <c r="G15" s="83">
        <f>IF($A15="","",'Livre de paie'!M15)</f>
        <v/>
      </c>
      <c r="H15" s="83">
        <f>IF($A15="","",'Livre de paie'!N15)</f>
        <v/>
      </c>
      <c r="I15" s="83">
        <f>IF($A15="","",E15)</f>
        <v/>
      </c>
      <c r="J15" s="83">
        <f>IF($A15="","",F15+G15+H15)</f>
        <v/>
      </c>
      <c r="K15" s="83">
        <f>IF($A15="","",I15+J15)</f>
        <v/>
      </c>
    </row>
    <row r="16" ht="15" customHeight="1" s="71">
      <c r="A16" s="82">
        <f>IF('Livre de paie'!A16="","",'Livre de paie'!A16)</f>
        <v/>
      </c>
      <c r="B16" s="82">
        <f>IF($A16="","",'Livre de paie'!B16)</f>
        <v/>
      </c>
      <c r="C16" s="82">
        <f>IF($A16="","",IFERROR(VLOOKUP($A16,Employés!$A:$G,7,0),""))</f>
        <v/>
      </c>
      <c r="D16" s="83">
        <f>IF($A16="","",'Livre de paie'!J16)</f>
        <v/>
      </c>
      <c r="E16" s="83">
        <f>IF($A16="","",'Livre de paie'!K16)</f>
        <v/>
      </c>
      <c r="F16" s="83">
        <f>IF($A16="","",'Livre de paie'!L16)</f>
        <v/>
      </c>
      <c r="G16" s="83">
        <f>IF($A16="","",'Livre de paie'!M16)</f>
        <v/>
      </c>
      <c r="H16" s="83">
        <f>IF($A16="","",'Livre de paie'!N16)</f>
        <v/>
      </c>
      <c r="I16" s="83">
        <f>IF($A16="","",E16)</f>
        <v/>
      </c>
      <c r="J16" s="83">
        <f>IF($A16="","",F16+G16+H16)</f>
        <v/>
      </c>
      <c r="K16" s="83">
        <f>IF($A16="","",I16+J16)</f>
        <v/>
      </c>
    </row>
    <row r="17" ht="15" customHeight="1" s="71">
      <c r="A17" s="82">
        <f>IF('Livre de paie'!A17="","",'Livre de paie'!A17)</f>
        <v/>
      </c>
      <c r="B17" s="82">
        <f>IF($A17="","",'Livre de paie'!B17)</f>
        <v/>
      </c>
      <c r="C17" s="82">
        <f>IF($A17="","",IFERROR(VLOOKUP($A17,Employés!$A:$G,7,0),""))</f>
        <v/>
      </c>
      <c r="D17" s="83">
        <f>IF($A17="","",'Livre de paie'!J17)</f>
        <v/>
      </c>
      <c r="E17" s="83">
        <f>IF($A17="","",'Livre de paie'!K17)</f>
        <v/>
      </c>
      <c r="F17" s="83">
        <f>IF($A17="","",'Livre de paie'!L17)</f>
        <v/>
      </c>
      <c r="G17" s="83">
        <f>IF($A17="","",'Livre de paie'!M17)</f>
        <v/>
      </c>
      <c r="H17" s="83">
        <f>IF($A17="","",'Livre de paie'!N17)</f>
        <v/>
      </c>
      <c r="I17" s="83">
        <f>IF($A17="","",E17)</f>
        <v/>
      </c>
      <c r="J17" s="83">
        <f>IF($A17="","",F17+G17+H17)</f>
        <v/>
      </c>
      <c r="K17" s="83">
        <f>IF($A17="","",I17+J17)</f>
        <v/>
      </c>
    </row>
    <row r="18" ht="15" customHeight="1" s="71">
      <c r="A18" s="82">
        <f>IF('Livre de paie'!A18="","",'Livre de paie'!A18)</f>
        <v/>
      </c>
      <c r="B18" s="82">
        <f>IF($A18="","",'Livre de paie'!B18)</f>
        <v/>
      </c>
      <c r="C18" s="82">
        <f>IF($A18="","",IFERROR(VLOOKUP($A18,Employés!$A:$G,7,0),""))</f>
        <v/>
      </c>
      <c r="D18" s="83">
        <f>IF($A18="","",'Livre de paie'!J18)</f>
        <v/>
      </c>
      <c r="E18" s="83">
        <f>IF($A18="","",'Livre de paie'!K18)</f>
        <v/>
      </c>
      <c r="F18" s="83">
        <f>IF($A18="","",'Livre de paie'!L18)</f>
        <v/>
      </c>
      <c r="G18" s="83">
        <f>IF($A18="","",'Livre de paie'!M18)</f>
        <v/>
      </c>
      <c r="H18" s="83">
        <f>IF($A18="","",'Livre de paie'!N18)</f>
        <v/>
      </c>
      <c r="I18" s="83">
        <f>IF($A18="","",E18)</f>
        <v/>
      </c>
      <c r="J18" s="83">
        <f>IF($A18="","",F18+G18+H18)</f>
        <v/>
      </c>
      <c r="K18" s="83">
        <f>IF($A18="","",I18+J18)</f>
        <v/>
      </c>
    </row>
    <row r="19" ht="15" customHeight="1" s="71">
      <c r="A19" s="82">
        <f>IF('Livre de paie'!A19="","",'Livre de paie'!A19)</f>
        <v/>
      </c>
      <c r="B19" s="82">
        <f>IF($A19="","",'Livre de paie'!B19)</f>
        <v/>
      </c>
      <c r="C19" s="82">
        <f>IF($A19="","",IFERROR(VLOOKUP($A19,Employés!$A:$G,7,0),""))</f>
        <v/>
      </c>
      <c r="D19" s="83">
        <f>IF($A19="","",'Livre de paie'!J19)</f>
        <v/>
      </c>
      <c r="E19" s="83">
        <f>IF($A19="","",'Livre de paie'!K19)</f>
        <v/>
      </c>
      <c r="F19" s="83">
        <f>IF($A19="","",'Livre de paie'!L19)</f>
        <v/>
      </c>
      <c r="G19" s="83">
        <f>IF($A19="","",'Livre de paie'!M19)</f>
        <v/>
      </c>
      <c r="H19" s="83">
        <f>IF($A19="","",'Livre de paie'!N19)</f>
        <v/>
      </c>
      <c r="I19" s="83">
        <f>IF($A19="","",E19)</f>
        <v/>
      </c>
      <c r="J19" s="83">
        <f>IF($A19="","",F19+G19+H19)</f>
        <v/>
      </c>
      <c r="K19" s="83">
        <f>IF($A19="","",I19+J19)</f>
        <v/>
      </c>
    </row>
    <row r="20" ht="15" customHeight="1" s="71">
      <c r="A20" s="82">
        <f>IF('Livre de paie'!A20="","",'Livre de paie'!A20)</f>
        <v/>
      </c>
      <c r="B20" s="82">
        <f>IF($A20="","",'Livre de paie'!B20)</f>
        <v/>
      </c>
      <c r="C20" s="82">
        <f>IF($A20="","",IFERROR(VLOOKUP($A20,Employés!$A:$G,7,0),""))</f>
        <v/>
      </c>
      <c r="D20" s="83">
        <f>IF($A20="","",'Livre de paie'!J20)</f>
        <v/>
      </c>
      <c r="E20" s="83">
        <f>IF($A20="","",'Livre de paie'!K20)</f>
        <v/>
      </c>
      <c r="F20" s="83">
        <f>IF($A20="","",'Livre de paie'!L20)</f>
        <v/>
      </c>
      <c r="G20" s="83">
        <f>IF($A20="","",'Livre de paie'!M20)</f>
        <v/>
      </c>
      <c r="H20" s="83">
        <f>IF($A20="","",'Livre de paie'!N20)</f>
        <v/>
      </c>
      <c r="I20" s="83">
        <f>IF($A20="","",E20)</f>
        <v/>
      </c>
      <c r="J20" s="83">
        <f>IF($A20="","",F20+G20+H20)</f>
        <v/>
      </c>
      <c r="K20" s="83">
        <f>IF($A20="","",I20+J20)</f>
        <v/>
      </c>
    </row>
    <row r="21" ht="15" customHeight="1" s="71">
      <c r="A21" s="82">
        <f>IF('Livre de paie'!A21="","",'Livre de paie'!A21)</f>
        <v/>
      </c>
      <c r="B21" s="82">
        <f>IF($A21="","",'Livre de paie'!B21)</f>
        <v/>
      </c>
      <c r="C21" s="82">
        <f>IF($A21="","",IFERROR(VLOOKUP($A21,Employés!$A:$G,7,0),""))</f>
        <v/>
      </c>
      <c r="D21" s="83">
        <f>IF($A21="","",'Livre de paie'!J21)</f>
        <v/>
      </c>
      <c r="E21" s="83">
        <f>IF($A21="","",'Livre de paie'!K21)</f>
        <v/>
      </c>
      <c r="F21" s="83">
        <f>IF($A21="","",'Livre de paie'!L21)</f>
        <v/>
      </c>
      <c r="G21" s="83">
        <f>IF($A21="","",'Livre de paie'!M21)</f>
        <v/>
      </c>
      <c r="H21" s="83">
        <f>IF($A21="","",'Livre de paie'!N21)</f>
        <v/>
      </c>
      <c r="I21" s="83">
        <f>IF($A21="","",E21)</f>
        <v/>
      </c>
      <c r="J21" s="83">
        <f>IF($A21="","",F21+G21+H21)</f>
        <v/>
      </c>
      <c r="K21" s="83">
        <f>IF($A21="","",I21+J21)</f>
        <v/>
      </c>
    </row>
    <row r="22" ht="15" customHeight="1" s="71">
      <c r="A22" s="82">
        <f>IF('Livre de paie'!A22="","",'Livre de paie'!A22)</f>
        <v/>
      </c>
      <c r="B22" s="82">
        <f>IF($A22="","",'Livre de paie'!B22)</f>
        <v/>
      </c>
      <c r="C22" s="82">
        <f>IF($A22="","",IFERROR(VLOOKUP($A22,Employés!$A:$G,7,0),""))</f>
        <v/>
      </c>
      <c r="D22" s="83">
        <f>IF($A22="","",'Livre de paie'!J22)</f>
        <v/>
      </c>
      <c r="E22" s="83">
        <f>IF($A22="","",'Livre de paie'!K22)</f>
        <v/>
      </c>
      <c r="F22" s="83">
        <f>IF($A22="","",'Livre de paie'!L22)</f>
        <v/>
      </c>
      <c r="G22" s="83">
        <f>IF($A22="","",'Livre de paie'!M22)</f>
        <v/>
      </c>
      <c r="H22" s="83">
        <f>IF($A22="","",'Livre de paie'!N22)</f>
        <v/>
      </c>
      <c r="I22" s="83">
        <f>IF($A22="","",E22)</f>
        <v/>
      </c>
      <c r="J22" s="83">
        <f>IF($A22="","",F22+G22+H22)</f>
        <v/>
      </c>
      <c r="K22" s="83">
        <f>IF($A22="","",I22+J22)</f>
        <v/>
      </c>
    </row>
    <row r="23" ht="15" customHeight="1" s="71">
      <c r="A23" s="82">
        <f>IF('Livre de paie'!A23="","",'Livre de paie'!A23)</f>
        <v/>
      </c>
      <c r="B23" s="82">
        <f>IF($A23="","",'Livre de paie'!B23)</f>
        <v/>
      </c>
      <c r="C23" s="82">
        <f>IF($A23="","",IFERROR(VLOOKUP($A23,Employés!$A:$G,7,0),""))</f>
        <v/>
      </c>
      <c r="D23" s="83">
        <f>IF($A23="","",'Livre de paie'!J23)</f>
        <v/>
      </c>
      <c r="E23" s="83">
        <f>IF($A23="","",'Livre de paie'!K23)</f>
        <v/>
      </c>
      <c r="F23" s="83">
        <f>IF($A23="","",'Livre de paie'!L23)</f>
        <v/>
      </c>
      <c r="G23" s="83">
        <f>IF($A23="","",'Livre de paie'!M23)</f>
        <v/>
      </c>
      <c r="H23" s="83">
        <f>IF($A23="","",'Livre de paie'!N23)</f>
        <v/>
      </c>
      <c r="I23" s="83">
        <f>IF($A23="","",E23)</f>
        <v/>
      </c>
      <c r="J23" s="83">
        <f>IF($A23="","",F23+G23+H23)</f>
        <v/>
      </c>
      <c r="K23" s="83">
        <f>IF($A23="","",I23+J23)</f>
        <v/>
      </c>
    </row>
    <row r="24" ht="15" customHeight="1" s="71">
      <c r="A24" s="82">
        <f>IF('Livre de paie'!A24="","",'Livre de paie'!A24)</f>
        <v/>
      </c>
      <c r="B24" s="82">
        <f>IF($A24="","",'Livre de paie'!B24)</f>
        <v/>
      </c>
      <c r="C24" s="82">
        <f>IF($A24="","",IFERROR(VLOOKUP($A24,Employés!$A:$G,7,0),""))</f>
        <v/>
      </c>
      <c r="D24" s="83">
        <f>IF($A24="","",'Livre de paie'!J24)</f>
        <v/>
      </c>
      <c r="E24" s="83">
        <f>IF($A24="","",'Livre de paie'!K24)</f>
        <v/>
      </c>
      <c r="F24" s="83">
        <f>IF($A24="","",'Livre de paie'!L24)</f>
        <v/>
      </c>
      <c r="G24" s="83">
        <f>IF($A24="","",'Livre de paie'!M24)</f>
        <v/>
      </c>
      <c r="H24" s="83">
        <f>IF($A24="","",'Livre de paie'!N24)</f>
        <v/>
      </c>
      <c r="I24" s="83">
        <f>IF($A24="","",E24)</f>
        <v/>
      </c>
      <c r="J24" s="83">
        <f>IF($A24="","",F24+G24+H24)</f>
        <v/>
      </c>
      <c r="K24" s="83">
        <f>IF($A24="","",I24+J24)</f>
        <v/>
      </c>
    </row>
    <row r="25" ht="15" customHeight="1" s="71">
      <c r="A25" s="82">
        <f>IF('Livre de paie'!A25="","",'Livre de paie'!A25)</f>
        <v/>
      </c>
      <c r="B25" s="82">
        <f>IF($A25="","",'Livre de paie'!B25)</f>
        <v/>
      </c>
      <c r="C25" s="82">
        <f>IF($A25="","",IFERROR(VLOOKUP($A25,Employés!$A:$G,7,0),""))</f>
        <v/>
      </c>
      <c r="D25" s="83">
        <f>IF($A25="","",'Livre de paie'!J25)</f>
        <v/>
      </c>
      <c r="E25" s="83">
        <f>IF($A25="","",'Livre de paie'!K25)</f>
        <v/>
      </c>
      <c r="F25" s="83">
        <f>IF($A25="","",'Livre de paie'!L25)</f>
        <v/>
      </c>
      <c r="G25" s="83">
        <f>IF($A25="","",'Livre de paie'!M25)</f>
        <v/>
      </c>
      <c r="H25" s="83">
        <f>IF($A25="","",'Livre de paie'!N25)</f>
        <v/>
      </c>
      <c r="I25" s="83">
        <f>IF($A25="","",E25)</f>
        <v/>
      </c>
      <c r="J25" s="83">
        <f>IF($A25="","",F25+G25+H25)</f>
        <v/>
      </c>
      <c r="K25" s="83">
        <f>IF($A25="","",I25+J25)</f>
        <v/>
      </c>
    </row>
    <row r="26" ht="15" customHeight="1" s="71">
      <c r="A26" s="82">
        <f>IF('Livre de paie'!A26="","",'Livre de paie'!A26)</f>
        <v/>
      </c>
      <c r="B26" s="82">
        <f>IF($A26="","",'Livre de paie'!B26)</f>
        <v/>
      </c>
      <c r="C26" s="82">
        <f>IF($A26="","",IFERROR(VLOOKUP($A26,Employés!$A:$G,7,0),""))</f>
        <v/>
      </c>
      <c r="D26" s="83">
        <f>IF($A26="","",'Livre de paie'!J26)</f>
        <v/>
      </c>
      <c r="E26" s="83">
        <f>IF($A26="","",'Livre de paie'!K26)</f>
        <v/>
      </c>
      <c r="F26" s="83">
        <f>IF($A26="","",'Livre de paie'!L26)</f>
        <v/>
      </c>
      <c r="G26" s="83">
        <f>IF($A26="","",'Livre de paie'!M26)</f>
        <v/>
      </c>
      <c r="H26" s="83">
        <f>IF($A26="","",'Livre de paie'!N26)</f>
        <v/>
      </c>
      <c r="I26" s="83">
        <f>IF($A26="","",E26)</f>
        <v/>
      </c>
      <c r="J26" s="83">
        <f>IF($A26="","",F26+G26+H26)</f>
        <v/>
      </c>
      <c r="K26" s="83">
        <f>IF($A26="","",I26+J26)</f>
        <v/>
      </c>
    </row>
    <row r="27" ht="15" customHeight="1" s="71">
      <c r="A27" s="82">
        <f>IF('Livre de paie'!A27="","",'Livre de paie'!A27)</f>
        <v/>
      </c>
      <c r="B27" s="82">
        <f>IF($A27="","",'Livre de paie'!B27)</f>
        <v/>
      </c>
      <c r="C27" s="82">
        <f>IF($A27="","",IFERROR(VLOOKUP($A27,Employés!$A:$G,7,0),""))</f>
        <v/>
      </c>
      <c r="D27" s="83">
        <f>IF($A27="","",'Livre de paie'!J27)</f>
        <v/>
      </c>
      <c r="E27" s="83">
        <f>IF($A27="","",'Livre de paie'!K27)</f>
        <v/>
      </c>
      <c r="F27" s="83">
        <f>IF($A27="","",'Livre de paie'!L27)</f>
        <v/>
      </c>
      <c r="G27" s="83">
        <f>IF($A27="","",'Livre de paie'!M27)</f>
        <v/>
      </c>
      <c r="H27" s="83">
        <f>IF($A27="","",'Livre de paie'!N27)</f>
        <v/>
      </c>
      <c r="I27" s="83">
        <f>IF($A27="","",E27)</f>
        <v/>
      </c>
      <c r="J27" s="83">
        <f>IF($A27="","",F27+G27+H27)</f>
        <v/>
      </c>
      <c r="K27" s="83">
        <f>IF($A27="","",I27+J27)</f>
        <v/>
      </c>
    </row>
    <row r="28" ht="15" customHeight="1" s="71">
      <c r="A28" s="82">
        <f>IF('Livre de paie'!A28="","",'Livre de paie'!A28)</f>
        <v/>
      </c>
      <c r="B28" s="82">
        <f>IF($A28="","",'Livre de paie'!B28)</f>
        <v/>
      </c>
      <c r="C28" s="82">
        <f>IF($A28="","",IFERROR(VLOOKUP($A28,Employés!$A:$G,7,0),""))</f>
        <v/>
      </c>
      <c r="D28" s="83">
        <f>IF($A28="","",'Livre de paie'!J28)</f>
        <v/>
      </c>
      <c r="E28" s="83">
        <f>IF($A28="","",'Livre de paie'!K28)</f>
        <v/>
      </c>
      <c r="F28" s="83">
        <f>IF($A28="","",'Livre de paie'!L28)</f>
        <v/>
      </c>
      <c r="G28" s="83">
        <f>IF($A28="","",'Livre de paie'!M28)</f>
        <v/>
      </c>
      <c r="H28" s="83">
        <f>IF($A28="","",'Livre de paie'!N28)</f>
        <v/>
      </c>
      <c r="I28" s="83">
        <f>IF($A28="","",E28)</f>
        <v/>
      </c>
      <c r="J28" s="83">
        <f>IF($A28="","",F28+G28+H28)</f>
        <v/>
      </c>
      <c r="K28" s="83">
        <f>IF($A28="","",I28+J28)</f>
        <v/>
      </c>
    </row>
    <row r="29" ht="15" customHeight="1" s="71">
      <c r="A29" s="82">
        <f>IF('Livre de paie'!A29="","",'Livre de paie'!A29)</f>
        <v/>
      </c>
      <c r="B29" s="82">
        <f>IF($A29="","",'Livre de paie'!B29)</f>
        <v/>
      </c>
      <c r="C29" s="82">
        <f>IF($A29="","",IFERROR(VLOOKUP($A29,Employés!$A:$G,7,0),""))</f>
        <v/>
      </c>
      <c r="D29" s="83">
        <f>IF($A29="","",'Livre de paie'!J29)</f>
        <v/>
      </c>
      <c r="E29" s="83">
        <f>IF($A29="","",'Livre de paie'!K29)</f>
        <v/>
      </c>
      <c r="F29" s="83">
        <f>IF($A29="","",'Livre de paie'!L29)</f>
        <v/>
      </c>
      <c r="G29" s="83">
        <f>IF($A29="","",'Livre de paie'!M29)</f>
        <v/>
      </c>
      <c r="H29" s="83">
        <f>IF($A29="","",'Livre de paie'!N29)</f>
        <v/>
      </c>
      <c r="I29" s="83">
        <f>IF($A29="","",E29)</f>
        <v/>
      </c>
      <c r="J29" s="83">
        <f>IF($A29="","",F29+G29+H29)</f>
        <v/>
      </c>
      <c r="K29" s="83">
        <f>IF($A29="","",I29+J29)</f>
        <v/>
      </c>
    </row>
    <row r="30" ht="15" customHeight="1" s="71">
      <c r="A30" s="82">
        <f>IF('Livre de paie'!A30="","",'Livre de paie'!A30)</f>
        <v/>
      </c>
      <c r="B30" s="82">
        <f>IF($A30="","",'Livre de paie'!B30)</f>
        <v/>
      </c>
      <c r="C30" s="82">
        <f>IF($A30="","",IFERROR(VLOOKUP($A30,Employés!$A:$G,7,0),""))</f>
        <v/>
      </c>
      <c r="D30" s="83">
        <f>IF($A30="","",'Livre de paie'!J30)</f>
        <v/>
      </c>
      <c r="E30" s="83">
        <f>IF($A30="","",'Livre de paie'!K30)</f>
        <v/>
      </c>
      <c r="F30" s="83">
        <f>IF($A30="","",'Livre de paie'!L30)</f>
        <v/>
      </c>
      <c r="G30" s="83">
        <f>IF($A30="","",'Livre de paie'!M30)</f>
        <v/>
      </c>
      <c r="H30" s="83">
        <f>IF($A30="","",'Livre de paie'!N30)</f>
        <v/>
      </c>
      <c r="I30" s="83">
        <f>IF($A30="","",E30)</f>
        <v/>
      </c>
      <c r="J30" s="83">
        <f>IF($A30="","",F30+G30+H30)</f>
        <v/>
      </c>
      <c r="K30" s="83">
        <f>IF($A30="","",I30+J30)</f>
        <v/>
      </c>
    </row>
    <row r="31" ht="15" customHeight="1" s="71">
      <c r="A31" s="82">
        <f>IF('Livre de paie'!A31="","",'Livre de paie'!A31)</f>
        <v/>
      </c>
      <c r="B31" s="82">
        <f>IF($A31="","",'Livre de paie'!B31)</f>
        <v/>
      </c>
      <c r="C31" s="82">
        <f>IF($A31="","",IFERROR(VLOOKUP($A31,Employés!$A:$G,7,0),""))</f>
        <v/>
      </c>
      <c r="D31" s="83">
        <f>IF($A31="","",'Livre de paie'!J31)</f>
        <v/>
      </c>
      <c r="E31" s="83">
        <f>IF($A31="","",'Livre de paie'!K31)</f>
        <v/>
      </c>
      <c r="F31" s="83">
        <f>IF($A31="","",'Livre de paie'!L31)</f>
        <v/>
      </c>
      <c r="G31" s="83">
        <f>IF($A31="","",'Livre de paie'!M31)</f>
        <v/>
      </c>
      <c r="H31" s="83">
        <f>IF($A31="","",'Livre de paie'!N31)</f>
        <v/>
      </c>
      <c r="I31" s="83">
        <f>IF($A31="","",E31)</f>
        <v/>
      </c>
      <c r="J31" s="83">
        <f>IF($A31="","",F31+G31+H31)</f>
        <v/>
      </c>
      <c r="K31" s="83">
        <f>IF($A31="","",I31+J31)</f>
        <v/>
      </c>
    </row>
    <row r="32" ht="15" customHeight="1" s="71">
      <c r="A32" s="82">
        <f>IF('Livre de paie'!A32="","",'Livre de paie'!A32)</f>
        <v/>
      </c>
      <c r="B32" s="82">
        <f>IF($A32="","",'Livre de paie'!B32)</f>
        <v/>
      </c>
      <c r="C32" s="82">
        <f>IF($A32="","",IFERROR(VLOOKUP($A32,Employés!$A:$G,7,0),""))</f>
        <v/>
      </c>
      <c r="D32" s="83">
        <f>IF($A32="","",'Livre de paie'!J32)</f>
        <v/>
      </c>
      <c r="E32" s="83">
        <f>IF($A32="","",'Livre de paie'!K32)</f>
        <v/>
      </c>
      <c r="F32" s="83">
        <f>IF($A32="","",'Livre de paie'!L32)</f>
        <v/>
      </c>
      <c r="G32" s="83">
        <f>IF($A32="","",'Livre de paie'!M32)</f>
        <v/>
      </c>
      <c r="H32" s="83">
        <f>IF($A32="","",'Livre de paie'!N32)</f>
        <v/>
      </c>
      <c r="I32" s="83">
        <f>IF($A32="","",E32)</f>
        <v/>
      </c>
      <c r="J32" s="83">
        <f>IF($A32="","",F32+G32+H32)</f>
        <v/>
      </c>
      <c r="K32" s="83">
        <f>IF($A32="","",I32+J32)</f>
        <v/>
      </c>
    </row>
    <row r="33" ht="15" customHeight="1" s="71">
      <c r="A33" s="82">
        <f>IF('Livre de paie'!A33="","",'Livre de paie'!A33)</f>
        <v/>
      </c>
      <c r="B33" s="82">
        <f>IF($A33="","",'Livre de paie'!B33)</f>
        <v/>
      </c>
      <c r="C33" s="82">
        <f>IF($A33="","",IFERROR(VLOOKUP($A33,Employés!$A:$G,7,0),""))</f>
        <v/>
      </c>
      <c r="D33" s="83">
        <f>IF($A33="","",'Livre de paie'!J33)</f>
        <v/>
      </c>
      <c r="E33" s="83">
        <f>IF($A33="","",'Livre de paie'!K33)</f>
        <v/>
      </c>
      <c r="F33" s="83">
        <f>IF($A33="","",'Livre de paie'!L33)</f>
        <v/>
      </c>
      <c r="G33" s="83">
        <f>IF($A33="","",'Livre de paie'!M33)</f>
        <v/>
      </c>
      <c r="H33" s="83">
        <f>IF($A33="","",'Livre de paie'!N33)</f>
        <v/>
      </c>
      <c r="I33" s="83">
        <f>IF($A33="","",E33)</f>
        <v/>
      </c>
      <c r="J33" s="83">
        <f>IF($A33="","",F33+G33+H33)</f>
        <v/>
      </c>
      <c r="K33" s="83">
        <f>IF($A33="","",I33+J33)</f>
        <v/>
      </c>
    </row>
    <row r="34" ht="15" customHeight="1" s="71">
      <c r="A34" s="82">
        <f>IF('Livre de paie'!A34="","",'Livre de paie'!A34)</f>
        <v/>
      </c>
      <c r="B34" s="82">
        <f>IF($A34="","",'Livre de paie'!B34)</f>
        <v/>
      </c>
      <c r="C34" s="82">
        <f>IF($A34="","",IFERROR(VLOOKUP($A34,Employés!$A:$G,7,0),""))</f>
        <v/>
      </c>
      <c r="D34" s="83">
        <f>IF($A34="","",'Livre de paie'!J34)</f>
        <v/>
      </c>
      <c r="E34" s="83">
        <f>IF($A34="","",'Livre de paie'!K34)</f>
        <v/>
      </c>
      <c r="F34" s="83">
        <f>IF($A34="","",'Livre de paie'!L34)</f>
        <v/>
      </c>
      <c r="G34" s="83">
        <f>IF($A34="","",'Livre de paie'!M34)</f>
        <v/>
      </c>
      <c r="H34" s="83">
        <f>IF($A34="","",'Livre de paie'!N34)</f>
        <v/>
      </c>
      <c r="I34" s="83">
        <f>IF($A34="","",E34)</f>
        <v/>
      </c>
      <c r="J34" s="83">
        <f>IF($A34="","",F34+G34+H34)</f>
        <v/>
      </c>
      <c r="K34" s="83">
        <f>IF($A34="","",I34+J34)</f>
        <v/>
      </c>
    </row>
    <row r="35" ht="15" customHeight="1" s="71">
      <c r="A35" s="82">
        <f>IF('Livre de paie'!A35="","",'Livre de paie'!A35)</f>
        <v/>
      </c>
      <c r="B35" s="82">
        <f>IF($A35="","",'Livre de paie'!B35)</f>
        <v/>
      </c>
      <c r="C35" s="82">
        <f>IF($A35="","",IFERROR(VLOOKUP($A35,Employés!$A:$G,7,0),""))</f>
        <v/>
      </c>
      <c r="D35" s="83">
        <f>IF($A35="","",'Livre de paie'!J35)</f>
        <v/>
      </c>
      <c r="E35" s="83">
        <f>IF($A35="","",'Livre de paie'!K35)</f>
        <v/>
      </c>
      <c r="F35" s="83">
        <f>IF($A35="","",'Livre de paie'!L35)</f>
        <v/>
      </c>
      <c r="G35" s="83">
        <f>IF($A35="","",'Livre de paie'!M35)</f>
        <v/>
      </c>
      <c r="H35" s="83">
        <f>IF($A35="","",'Livre de paie'!N35)</f>
        <v/>
      </c>
      <c r="I35" s="83">
        <f>IF($A35="","",E35)</f>
        <v/>
      </c>
      <c r="J35" s="83">
        <f>IF($A35="","",F35+G35+H35)</f>
        <v/>
      </c>
      <c r="K35" s="83">
        <f>IF($A35="","",I35+J35)</f>
        <v/>
      </c>
    </row>
    <row r="36" ht="15" customHeight="1" s="71">
      <c r="A36" s="82">
        <f>IF('Livre de paie'!A36="","",'Livre de paie'!A36)</f>
        <v/>
      </c>
      <c r="B36" s="82">
        <f>IF($A36="","",'Livre de paie'!B36)</f>
        <v/>
      </c>
      <c r="C36" s="82">
        <f>IF($A36="","",IFERROR(VLOOKUP($A36,Employés!$A:$G,7,0),""))</f>
        <v/>
      </c>
      <c r="D36" s="83">
        <f>IF($A36="","",'Livre de paie'!J36)</f>
        <v/>
      </c>
      <c r="E36" s="83">
        <f>IF($A36="","",'Livre de paie'!K36)</f>
        <v/>
      </c>
      <c r="F36" s="83">
        <f>IF($A36="","",'Livre de paie'!L36)</f>
        <v/>
      </c>
      <c r="G36" s="83">
        <f>IF($A36="","",'Livre de paie'!M36)</f>
        <v/>
      </c>
      <c r="H36" s="83">
        <f>IF($A36="","",'Livre de paie'!N36)</f>
        <v/>
      </c>
      <c r="I36" s="83">
        <f>IF($A36="","",E36)</f>
        <v/>
      </c>
      <c r="J36" s="83">
        <f>IF($A36="","",F36+G36+H36)</f>
        <v/>
      </c>
      <c r="K36" s="83">
        <f>IF($A36="","",I36+J36)</f>
        <v/>
      </c>
    </row>
    <row r="37" ht="15" customHeight="1" s="71">
      <c r="A37" s="82">
        <f>IF('Livre de paie'!A37="","",'Livre de paie'!A37)</f>
        <v/>
      </c>
      <c r="B37" s="82">
        <f>IF($A37="","",'Livre de paie'!B37)</f>
        <v/>
      </c>
      <c r="C37" s="82">
        <f>IF($A37="","",IFERROR(VLOOKUP($A37,Employés!$A:$G,7,0),""))</f>
        <v/>
      </c>
      <c r="D37" s="83">
        <f>IF($A37="","",'Livre de paie'!J37)</f>
        <v/>
      </c>
      <c r="E37" s="83">
        <f>IF($A37="","",'Livre de paie'!K37)</f>
        <v/>
      </c>
      <c r="F37" s="83">
        <f>IF($A37="","",'Livre de paie'!L37)</f>
        <v/>
      </c>
      <c r="G37" s="83">
        <f>IF($A37="","",'Livre de paie'!M37)</f>
        <v/>
      </c>
      <c r="H37" s="83">
        <f>IF($A37="","",'Livre de paie'!N37)</f>
        <v/>
      </c>
      <c r="I37" s="83">
        <f>IF($A37="","",E37)</f>
        <v/>
      </c>
      <c r="J37" s="83">
        <f>IF($A37="","",F37+G37+H37)</f>
        <v/>
      </c>
      <c r="K37" s="83">
        <f>IF($A37="","",I37+J37)</f>
        <v/>
      </c>
    </row>
    <row r="38" ht="15" customHeight="1" s="71">
      <c r="A38" s="82">
        <f>IF('Livre de paie'!A38="","",'Livre de paie'!A38)</f>
        <v/>
      </c>
      <c r="B38" s="82">
        <f>IF($A38="","",'Livre de paie'!B38)</f>
        <v/>
      </c>
      <c r="C38" s="82">
        <f>IF($A38="","",IFERROR(VLOOKUP($A38,Employés!$A:$G,7,0),""))</f>
        <v/>
      </c>
      <c r="D38" s="83">
        <f>IF($A38="","",'Livre de paie'!J38)</f>
        <v/>
      </c>
      <c r="E38" s="83">
        <f>IF($A38="","",'Livre de paie'!K38)</f>
        <v/>
      </c>
      <c r="F38" s="83">
        <f>IF($A38="","",'Livre de paie'!L38)</f>
        <v/>
      </c>
      <c r="G38" s="83">
        <f>IF($A38="","",'Livre de paie'!M38)</f>
        <v/>
      </c>
      <c r="H38" s="83">
        <f>IF($A38="","",'Livre de paie'!N38)</f>
        <v/>
      </c>
      <c r="I38" s="83">
        <f>IF($A38="","",E38)</f>
        <v/>
      </c>
      <c r="J38" s="83">
        <f>IF($A38="","",F38+G38+H38)</f>
        <v/>
      </c>
      <c r="K38" s="83">
        <f>IF($A38="","",I38+J38)</f>
        <v/>
      </c>
    </row>
    <row r="39" ht="15" customHeight="1" s="71">
      <c r="A39" s="82">
        <f>IF('Livre de paie'!A39="","",'Livre de paie'!A39)</f>
        <v/>
      </c>
      <c r="B39" s="82">
        <f>IF($A39="","",'Livre de paie'!B39)</f>
        <v/>
      </c>
      <c r="C39" s="82">
        <f>IF($A39="","",IFERROR(VLOOKUP($A39,Employés!$A:$G,7,0),""))</f>
        <v/>
      </c>
      <c r="D39" s="83">
        <f>IF($A39="","",'Livre de paie'!J39)</f>
        <v/>
      </c>
      <c r="E39" s="83">
        <f>IF($A39="","",'Livre de paie'!K39)</f>
        <v/>
      </c>
      <c r="F39" s="83">
        <f>IF($A39="","",'Livre de paie'!L39)</f>
        <v/>
      </c>
      <c r="G39" s="83">
        <f>IF($A39="","",'Livre de paie'!M39)</f>
        <v/>
      </c>
      <c r="H39" s="83">
        <f>IF($A39="","",'Livre de paie'!N39)</f>
        <v/>
      </c>
      <c r="I39" s="83">
        <f>IF($A39="","",E39)</f>
        <v/>
      </c>
      <c r="J39" s="83">
        <f>IF($A39="","",F39+G39+H39)</f>
        <v/>
      </c>
      <c r="K39" s="83">
        <f>IF($A39="","",I39+J39)</f>
        <v/>
      </c>
    </row>
    <row r="40" ht="15" customHeight="1" s="71">
      <c r="A40" s="82">
        <f>IF('Livre de paie'!A40="","",'Livre de paie'!A40)</f>
        <v/>
      </c>
      <c r="B40" s="82">
        <f>IF($A40="","",'Livre de paie'!B40)</f>
        <v/>
      </c>
      <c r="C40" s="82">
        <f>IF($A40="","",IFERROR(VLOOKUP($A40,Employés!$A:$G,7,0),""))</f>
        <v/>
      </c>
      <c r="D40" s="83">
        <f>IF($A40="","",'Livre de paie'!J40)</f>
        <v/>
      </c>
      <c r="E40" s="83">
        <f>IF($A40="","",'Livre de paie'!K40)</f>
        <v/>
      </c>
      <c r="F40" s="83">
        <f>IF($A40="","",'Livre de paie'!L40)</f>
        <v/>
      </c>
      <c r="G40" s="83">
        <f>IF($A40="","",'Livre de paie'!M40)</f>
        <v/>
      </c>
      <c r="H40" s="83">
        <f>IF($A40="","",'Livre de paie'!N40)</f>
        <v/>
      </c>
      <c r="I40" s="83">
        <f>IF($A40="","",E40)</f>
        <v/>
      </c>
      <c r="J40" s="83">
        <f>IF($A40="","",F40+G40+H40)</f>
        <v/>
      </c>
      <c r="K40" s="83">
        <f>IF($A40="","",I40+J40)</f>
        <v/>
      </c>
    </row>
    <row r="41" ht="15" customHeight="1" s="71">
      <c r="A41" s="82">
        <f>IF('Livre de paie'!A41="","",'Livre de paie'!A41)</f>
        <v/>
      </c>
      <c r="B41" s="82">
        <f>IF($A41="","",'Livre de paie'!B41)</f>
        <v/>
      </c>
      <c r="C41" s="82">
        <f>IF($A41="","",IFERROR(VLOOKUP($A41,Employés!$A:$G,7,0),""))</f>
        <v/>
      </c>
      <c r="D41" s="83">
        <f>IF($A41="","",'Livre de paie'!J41)</f>
        <v/>
      </c>
      <c r="E41" s="83">
        <f>IF($A41="","",'Livre de paie'!K41)</f>
        <v/>
      </c>
      <c r="F41" s="83">
        <f>IF($A41="","",'Livre de paie'!L41)</f>
        <v/>
      </c>
      <c r="G41" s="83">
        <f>IF($A41="","",'Livre de paie'!M41)</f>
        <v/>
      </c>
      <c r="H41" s="83">
        <f>IF($A41="","",'Livre de paie'!N41)</f>
        <v/>
      </c>
      <c r="I41" s="83">
        <f>IF($A41="","",E41)</f>
        <v/>
      </c>
      <c r="J41" s="83">
        <f>IF($A41="","",F41+G41+H41)</f>
        <v/>
      </c>
      <c r="K41" s="83">
        <f>IF($A41="","",I41+J41)</f>
        <v/>
      </c>
    </row>
    <row r="42" ht="15" customHeight="1" s="71">
      <c r="A42" s="82">
        <f>IF('Livre de paie'!A42="","",'Livre de paie'!A42)</f>
        <v/>
      </c>
      <c r="B42" s="82">
        <f>IF($A42="","",'Livre de paie'!B42)</f>
        <v/>
      </c>
      <c r="C42" s="82">
        <f>IF($A42="","",IFERROR(VLOOKUP($A42,Employés!$A:$G,7,0),""))</f>
        <v/>
      </c>
      <c r="D42" s="83">
        <f>IF($A42="","",'Livre de paie'!J42)</f>
        <v/>
      </c>
      <c r="E42" s="83">
        <f>IF($A42="","",'Livre de paie'!K42)</f>
        <v/>
      </c>
      <c r="F42" s="83">
        <f>IF($A42="","",'Livre de paie'!L42)</f>
        <v/>
      </c>
      <c r="G42" s="83">
        <f>IF($A42="","",'Livre de paie'!M42)</f>
        <v/>
      </c>
      <c r="H42" s="83">
        <f>IF($A42="","",'Livre de paie'!N42)</f>
        <v/>
      </c>
      <c r="I42" s="83">
        <f>IF($A42="","",E42)</f>
        <v/>
      </c>
      <c r="J42" s="83">
        <f>IF($A42="","",F42+G42+H42)</f>
        <v/>
      </c>
      <c r="K42" s="83">
        <f>IF($A42="","",I42+J42)</f>
        <v/>
      </c>
    </row>
    <row r="43" ht="15" customHeight="1" s="71">
      <c r="A43" s="82">
        <f>IF('Livre de paie'!A43="","",'Livre de paie'!A43)</f>
        <v/>
      </c>
      <c r="B43" s="82">
        <f>IF($A43="","",'Livre de paie'!B43)</f>
        <v/>
      </c>
      <c r="C43" s="82">
        <f>IF($A43="","",IFERROR(VLOOKUP($A43,Employés!$A:$G,7,0),""))</f>
        <v/>
      </c>
      <c r="D43" s="83">
        <f>IF($A43="","",'Livre de paie'!J43)</f>
        <v/>
      </c>
      <c r="E43" s="83">
        <f>IF($A43="","",'Livre de paie'!K43)</f>
        <v/>
      </c>
      <c r="F43" s="83">
        <f>IF($A43="","",'Livre de paie'!L43)</f>
        <v/>
      </c>
      <c r="G43" s="83">
        <f>IF($A43="","",'Livre de paie'!M43)</f>
        <v/>
      </c>
      <c r="H43" s="83">
        <f>IF($A43="","",'Livre de paie'!N43)</f>
        <v/>
      </c>
      <c r="I43" s="83">
        <f>IF($A43="","",E43)</f>
        <v/>
      </c>
      <c r="J43" s="83">
        <f>IF($A43="","",F43+G43+H43)</f>
        <v/>
      </c>
      <c r="K43" s="83">
        <f>IF($A43="","",I43+J43)</f>
        <v/>
      </c>
    </row>
    <row r="44" ht="15" customHeight="1" s="71">
      <c r="A44" s="82">
        <f>IF('Livre de paie'!A44="","",'Livre de paie'!A44)</f>
        <v/>
      </c>
      <c r="B44" s="82">
        <f>IF($A44="","",'Livre de paie'!B44)</f>
        <v/>
      </c>
      <c r="C44" s="82">
        <f>IF($A44="","",IFERROR(VLOOKUP($A44,Employés!$A:$G,7,0),""))</f>
        <v/>
      </c>
      <c r="D44" s="83">
        <f>IF($A44="","",'Livre de paie'!J44)</f>
        <v/>
      </c>
      <c r="E44" s="83">
        <f>IF($A44="","",'Livre de paie'!K44)</f>
        <v/>
      </c>
      <c r="F44" s="83">
        <f>IF($A44="","",'Livre de paie'!L44)</f>
        <v/>
      </c>
      <c r="G44" s="83">
        <f>IF($A44="","",'Livre de paie'!M44)</f>
        <v/>
      </c>
      <c r="H44" s="83">
        <f>IF($A44="","",'Livre de paie'!N44)</f>
        <v/>
      </c>
      <c r="I44" s="83">
        <f>IF($A44="","",E44)</f>
        <v/>
      </c>
      <c r="J44" s="83">
        <f>IF($A44="","",F44+G44+H44)</f>
        <v/>
      </c>
      <c r="K44" s="83">
        <f>IF($A44="","",I44+J44)</f>
        <v/>
      </c>
    </row>
    <row r="45" ht="15" customHeight="1" s="71">
      <c r="A45" s="82">
        <f>IF('Livre de paie'!A45="","",'Livre de paie'!A45)</f>
        <v/>
      </c>
      <c r="B45" s="82">
        <f>IF($A45="","",'Livre de paie'!B45)</f>
        <v/>
      </c>
      <c r="C45" s="82">
        <f>IF($A45="","",IFERROR(VLOOKUP($A45,Employés!$A:$G,7,0),""))</f>
        <v/>
      </c>
      <c r="D45" s="83">
        <f>IF($A45="","",'Livre de paie'!J45)</f>
        <v/>
      </c>
      <c r="E45" s="83">
        <f>IF($A45="","",'Livre de paie'!K45)</f>
        <v/>
      </c>
      <c r="F45" s="83">
        <f>IF($A45="","",'Livre de paie'!L45)</f>
        <v/>
      </c>
      <c r="G45" s="83">
        <f>IF($A45="","",'Livre de paie'!M45)</f>
        <v/>
      </c>
      <c r="H45" s="83">
        <f>IF($A45="","",'Livre de paie'!N45)</f>
        <v/>
      </c>
      <c r="I45" s="83">
        <f>IF($A45="","",E45)</f>
        <v/>
      </c>
      <c r="J45" s="83">
        <f>IF($A45="","",F45+G45+H45)</f>
        <v/>
      </c>
      <c r="K45" s="83">
        <f>IF($A45="","",I45+J45)</f>
        <v/>
      </c>
    </row>
    <row r="46" ht="15" customHeight="1" s="71">
      <c r="A46" s="82">
        <f>IF('Livre de paie'!A46="","",'Livre de paie'!A46)</f>
        <v/>
      </c>
      <c r="B46" s="82">
        <f>IF($A46="","",'Livre de paie'!B46)</f>
        <v/>
      </c>
      <c r="C46" s="82">
        <f>IF($A46="","",IFERROR(VLOOKUP($A46,Employés!$A:$G,7,0),""))</f>
        <v/>
      </c>
      <c r="D46" s="83">
        <f>IF($A46="","",'Livre de paie'!J46)</f>
        <v/>
      </c>
      <c r="E46" s="83">
        <f>IF($A46="","",'Livre de paie'!K46)</f>
        <v/>
      </c>
      <c r="F46" s="83">
        <f>IF($A46="","",'Livre de paie'!L46)</f>
        <v/>
      </c>
      <c r="G46" s="83">
        <f>IF($A46="","",'Livre de paie'!M46)</f>
        <v/>
      </c>
      <c r="H46" s="83">
        <f>IF($A46="","",'Livre de paie'!N46)</f>
        <v/>
      </c>
      <c r="I46" s="83">
        <f>IF($A46="","",E46)</f>
        <v/>
      </c>
      <c r="J46" s="83">
        <f>IF($A46="","",F46+G46+H46)</f>
        <v/>
      </c>
      <c r="K46" s="83">
        <f>IF($A46="","",I46+J46)</f>
        <v/>
      </c>
    </row>
    <row r="47" ht="15" customHeight="1" s="71">
      <c r="A47" s="82">
        <f>IF('Livre de paie'!A47="","",'Livre de paie'!A47)</f>
        <v/>
      </c>
      <c r="B47" s="82">
        <f>IF($A47="","",'Livre de paie'!B47)</f>
        <v/>
      </c>
      <c r="C47" s="82">
        <f>IF($A47="","",IFERROR(VLOOKUP($A47,Employés!$A:$G,7,0),""))</f>
        <v/>
      </c>
      <c r="D47" s="83">
        <f>IF($A47="","",'Livre de paie'!J47)</f>
        <v/>
      </c>
      <c r="E47" s="83">
        <f>IF($A47="","",'Livre de paie'!K47)</f>
        <v/>
      </c>
      <c r="F47" s="83">
        <f>IF($A47="","",'Livre de paie'!L47)</f>
        <v/>
      </c>
      <c r="G47" s="83">
        <f>IF($A47="","",'Livre de paie'!M47)</f>
        <v/>
      </c>
      <c r="H47" s="83">
        <f>IF($A47="","",'Livre de paie'!N47)</f>
        <v/>
      </c>
      <c r="I47" s="83">
        <f>IF($A47="","",E47)</f>
        <v/>
      </c>
      <c r="J47" s="83">
        <f>IF($A47="","",F47+G47+H47)</f>
        <v/>
      </c>
      <c r="K47" s="83">
        <f>IF($A47="","",I47+J47)</f>
        <v/>
      </c>
    </row>
    <row r="48" ht="15" customHeight="1" s="71">
      <c r="A48" s="82">
        <f>IF('Livre de paie'!A48="","",'Livre de paie'!A48)</f>
        <v/>
      </c>
      <c r="B48" s="82">
        <f>IF($A48="","",'Livre de paie'!B48)</f>
        <v/>
      </c>
      <c r="C48" s="82">
        <f>IF($A48="","",IFERROR(VLOOKUP($A48,Employés!$A:$G,7,0),""))</f>
        <v/>
      </c>
      <c r="D48" s="83">
        <f>IF($A48="","",'Livre de paie'!J48)</f>
        <v/>
      </c>
      <c r="E48" s="83">
        <f>IF($A48="","",'Livre de paie'!K48)</f>
        <v/>
      </c>
      <c r="F48" s="83">
        <f>IF($A48="","",'Livre de paie'!L48)</f>
        <v/>
      </c>
      <c r="G48" s="83">
        <f>IF($A48="","",'Livre de paie'!M48)</f>
        <v/>
      </c>
      <c r="H48" s="83">
        <f>IF($A48="","",'Livre de paie'!N48)</f>
        <v/>
      </c>
      <c r="I48" s="83">
        <f>IF($A48="","",E48)</f>
        <v/>
      </c>
      <c r="J48" s="83">
        <f>IF($A48="","",F48+G48+H48)</f>
        <v/>
      </c>
      <c r="K48" s="83">
        <f>IF($A48="","",I48+J48)</f>
        <v/>
      </c>
    </row>
    <row r="49" ht="15" customHeight="1" s="71">
      <c r="A49" s="82">
        <f>IF('Livre de paie'!A49="","",'Livre de paie'!A49)</f>
        <v/>
      </c>
      <c r="B49" s="82">
        <f>IF($A49="","",'Livre de paie'!B49)</f>
        <v/>
      </c>
      <c r="C49" s="82">
        <f>IF($A49="","",IFERROR(VLOOKUP($A49,Employés!$A:$G,7,0),""))</f>
        <v/>
      </c>
      <c r="D49" s="83">
        <f>IF($A49="","",'Livre de paie'!J49)</f>
        <v/>
      </c>
      <c r="E49" s="83">
        <f>IF($A49="","",'Livre de paie'!K49)</f>
        <v/>
      </c>
      <c r="F49" s="83">
        <f>IF($A49="","",'Livre de paie'!L49)</f>
        <v/>
      </c>
      <c r="G49" s="83">
        <f>IF($A49="","",'Livre de paie'!M49)</f>
        <v/>
      </c>
      <c r="H49" s="83">
        <f>IF($A49="","",'Livre de paie'!N49)</f>
        <v/>
      </c>
      <c r="I49" s="83">
        <f>IF($A49="","",E49)</f>
        <v/>
      </c>
      <c r="J49" s="83">
        <f>IF($A49="","",F49+G49+H49)</f>
        <v/>
      </c>
      <c r="K49" s="83">
        <f>IF($A49="","",I49+J49)</f>
        <v/>
      </c>
    </row>
    <row r="50" ht="15" customHeight="1" s="71">
      <c r="A50" s="82">
        <f>IF('Livre de paie'!A50="","",'Livre de paie'!A50)</f>
        <v/>
      </c>
      <c r="B50" s="82">
        <f>IF($A50="","",'Livre de paie'!B50)</f>
        <v/>
      </c>
      <c r="C50" s="82">
        <f>IF($A50="","",IFERROR(VLOOKUP($A50,Employés!$A:$G,7,0),""))</f>
        <v/>
      </c>
      <c r="D50" s="83">
        <f>IF($A50="","",'Livre de paie'!J50)</f>
        <v/>
      </c>
      <c r="E50" s="83">
        <f>IF($A50="","",'Livre de paie'!K50)</f>
        <v/>
      </c>
      <c r="F50" s="83">
        <f>IF($A50="","",'Livre de paie'!L50)</f>
        <v/>
      </c>
      <c r="G50" s="83">
        <f>IF($A50="","",'Livre de paie'!M50)</f>
        <v/>
      </c>
      <c r="H50" s="83">
        <f>IF($A50="","",'Livre de paie'!N50)</f>
        <v/>
      </c>
      <c r="I50" s="83">
        <f>IF($A50="","",E50)</f>
        <v/>
      </c>
      <c r="J50" s="83">
        <f>IF($A50="","",F50+G50+H50)</f>
        <v/>
      </c>
      <c r="K50" s="83">
        <f>IF($A50="","",I50+J50)</f>
        <v/>
      </c>
    </row>
    <row r="51" ht="15" customHeight="1" s="71">
      <c r="A51" s="82">
        <f>IF('Livre de paie'!A51="","",'Livre de paie'!A51)</f>
        <v/>
      </c>
      <c r="B51" s="82">
        <f>IF($A51="","",'Livre de paie'!B51)</f>
        <v/>
      </c>
      <c r="C51" s="82">
        <f>IF($A51="","",IFERROR(VLOOKUP($A51,Employés!$A:$G,7,0),""))</f>
        <v/>
      </c>
      <c r="D51" s="83">
        <f>IF($A51="","",'Livre de paie'!J51)</f>
        <v/>
      </c>
      <c r="E51" s="83">
        <f>IF($A51="","",'Livre de paie'!K51)</f>
        <v/>
      </c>
      <c r="F51" s="83">
        <f>IF($A51="","",'Livre de paie'!L51)</f>
        <v/>
      </c>
      <c r="G51" s="83">
        <f>IF($A51="","",'Livre de paie'!M51)</f>
        <v/>
      </c>
      <c r="H51" s="83">
        <f>IF($A51="","",'Livre de paie'!N51)</f>
        <v/>
      </c>
      <c r="I51" s="83">
        <f>IF($A51="","",E51)</f>
        <v/>
      </c>
      <c r="J51" s="83">
        <f>IF($A51="","",F51+G51+H51)</f>
        <v/>
      </c>
      <c r="K51" s="83">
        <f>IF($A51="","",I51+J51)</f>
        <v/>
      </c>
    </row>
    <row r="52" ht="15" customHeight="1" s="71">
      <c r="A52" s="82">
        <f>IF('Livre de paie'!A52="","",'Livre de paie'!A52)</f>
        <v/>
      </c>
      <c r="B52" s="82">
        <f>IF($A52="","",'Livre de paie'!B52)</f>
        <v/>
      </c>
      <c r="C52" s="82">
        <f>IF($A52="","",IFERROR(VLOOKUP($A52,Employés!$A:$G,7,0),""))</f>
        <v/>
      </c>
      <c r="D52" s="83">
        <f>IF($A52="","",'Livre de paie'!J52)</f>
        <v/>
      </c>
      <c r="E52" s="83">
        <f>IF($A52="","",'Livre de paie'!K52)</f>
        <v/>
      </c>
      <c r="F52" s="83">
        <f>IF($A52="","",'Livre de paie'!L52)</f>
        <v/>
      </c>
      <c r="G52" s="83">
        <f>IF($A52="","",'Livre de paie'!M52)</f>
        <v/>
      </c>
      <c r="H52" s="83">
        <f>IF($A52="","",'Livre de paie'!N52)</f>
        <v/>
      </c>
      <c r="I52" s="83">
        <f>IF($A52="","",E52)</f>
        <v/>
      </c>
      <c r="J52" s="83">
        <f>IF($A52="","",F52+G52+H52)</f>
        <v/>
      </c>
      <c r="K52" s="83">
        <f>IF($A52="","",I52+J52)</f>
        <v/>
      </c>
    </row>
    <row r="53" ht="15" customHeight="1" s="71">
      <c r="A53" s="82">
        <f>IF('Livre de paie'!A53="","",'Livre de paie'!A53)</f>
        <v/>
      </c>
      <c r="B53" s="82">
        <f>IF($A53="","",'Livre de paie'!B53)</f>
        <v/>
      </c>
      <c r="C53" s="82">
        <f>IF($A53="","",IFERROR(VLOOKUP($A53,Employés!$A:$G,7,0),""))</f>
        <v/>
      </c>
      <c r="D53" s="83">
        <f>IF($A53="","",'Livre de paie'!J53)</f>
        <v/>
      </c>
      <c r="E53" s="83">
        <f>IF($A53="","",'Livre de paie'!K53)</f>
        <v/>
      </c>
      <c r="F53" s="83">
        <f>IF($A53="","",'Livre de paie'!L53)</f>
        <v/>
      </c>
      <c r="G53" s="83">
        <f>IF($A53="","",'Livre de paie'!M53)</f>
        <v/>
      </c>
      <c r="H53" s="83">
        <f>IF($A53="","",'Livre de paie'!N53)</f>
        <v/>
      </c>
      <c r="I53" s="83">
        <f>IF($A53="","",E53)</f>
        <v/>
      </c>
      <c r="J53" s="83">
        <f>IF($A53="","",F53+G53+H53)</f>
        <v/>
      </c>
      <c r="K53" s="83">
        <f>IF($A53="","",I53+J53)</f>
        <v/>
      </c>
    </row>
    <row r="54" ht="15" customHeight="1" s="71">
      <c r="A54" s="82">
        <f>IF('Livre de paie'!A54="","",'Livre de paie'!A54)</f>
        <v/>
      </c>
      <c r="B54" s="82">
        <f>IF($A54="","",'Livre de paie'!B54)</f>
        <v/>
      </c>
      <c r="C54" s="82">
        <f>IF($A54="","",IFERROR(VLOOKUP($A54,Employés!$A:$G,7,0),""))</f>
        <v/>
      </c>
      <c r="D54" s="83">
        <f>IF($A54="","",'Livre de paie'!J54)</f>
        <v/>
      </c>
      <c r="E54" s="83">
        <f>IF($A54="","",'Livre de paie'!K54)</f>
        <v/>
      </c>
      <c r="F54" s="83">
        <f>IF($A54="","",'Livre de paie'!L54)</f>
        <v/>
      </c>
      <c r="G54" s="83">
        <f>IF($A54="","",'Livre de paie'!M54)</f>
        <v/>
      </c>
      <c r="H54" s="83">
        <f>IF($A54="","",'Livre de paie'!N54)</f>
        <v/>
      </c>
      <c r="I54" s="83">
        <f>IF($A54="","",E54)</f>
        <v/>
      </c>
      <c r="J54" s="83">
        <f>IF($A54="","",F54+G54+H54)</f>
        <v/>
      </c>
      <c r="K54" s="83">
        <f>IF($A54="","",I54+J54)</f>
        <v/>
      </c>
    </row>
    <row r="55" ht="15" customHeight="1" s="71">
      <c r="A55" s="82">
        <f>IF('Livre de paie'!A55="","",'Livre de paie'!A55)</f>
        <v/>
      </c>
      <c r="B55" s="82">
        <f>IF($A55="","",'Livre de paie'!B55)</f>
        <v/>
      </c>
      <c r="C55" s="82">
        <f>IF($A55="","",IFERROR(VLOOKUP($A55,Employés!$A:$G,7,0),""))</f>
        <v/>
      </c>
      <c r="D55" s="83">
        <f>IF($A55="","",'Livre de paie'!J55)</f>
        <v/>
      </c>
      <c r="E55" s="83">
        <f>IF($A55="","",'Livre de paie'!K55)</f>
        <v/>
      </c>
      <c r="F55" s="83">
        <f>IF($A55="","",'Livre de paie'!L55)</f>
        <v/>
      </c>
      <c r="G55" s="83">
        <f>IF($A55="","",'Livre de paie'!M55)</f>
        <v/>
      </c>
      <c r="H55" s="83">
        <f>IF($A55="","",'Livre de paie'!N55)</f>
        <v/>
      </c>
      <c r="I55" s="83">
        <f>IF($A55="","",E55)</f>
        <v/>
      </c>
      <c r="J55" s="83">
        <f>IF($A55="","",F55+G55+H55)</f>
        <v/>
      </c>
      <c r="K55" s="83">
        <f>IF($A55="","",I55+J55)</f>
        <v/>
      </c>
    </row>
    <row r="56" ht="15" customHeight="1" s="71">
      <c r="A56" s="82">
        <f>IF('Livre de paie'!A56="","",'Livre de paie'!A56)</f>
        <v/>
      </c>
      <c r="B56" s="82">
        <f>IF($A56="","",'Livre de paie'!B56)</f>
        <v/>
      </c>
      <c r="C56" s="82">
        <f>IF($A56="","",IFERROR(VLOOKUP($A56,Employés!$A:$G,7,0),""))</f>
        <v/>
      </c>
      <c r="D56" s="83">
        <f>IF($A56="","",'Livre de paie'!J56)</f>
        <v/>
      </c>
      <c r="E56" s="83">
        <f>IF($A56="","",'Livre de paie'!K56)</f>
        <v/>
      </c>
      <c r="F56" s="83">
        <f>IF($A56="","",'Livre de paie'!L56)</f>
        <v/>
      </c>
      <c r="G56" s="83">
        <f>IF($A56="","",'Livre de paie'!M56)</f>
        <v/>
      </c>
      <c r="H56" s="83">
        <f>IF($A56="","",'Livre de paie'!N56)</f>
        <v/>
      </c>
      <c r="I56" s="83">
        <f>IF($A56="","",E56)</f>
        <v/>
      </c>
      <c r="J56" s="83">
        <f>IF($A56="","",F56+G56+H56)</f>
        <v/>
      </c>
      <c r="K56" s="83">
        <f>IF($A56="","",I56+J56)</f>
        <v/>
      </c>
    </row>
    <row r="57" ht="15" customHeight="1" s="71">
      <c r="A57" s="82">
        <f>IF('Livre de paie'!A57="","",'Livre de paie'!A57)</f>
        <v/>
      </c>
      <c r="B57" s="82">
        <f>IF($A57="","",'Livre de paie'!B57)</f>
        <v/>
      </c>
      <c r="C57" s="82">
        <f>IF($A57="","",IFERROR(VLOOKUP($A57,Employés!$A:$G,7,0),""))</f>
        <v/>
      </c>
      <c r="D57" s="83">
        <f>IF($A57="","",'Livre de paie'!J57)</f>
        <v/>
      </c>
      <c r="E57" s="83">
        <f>IF($A57="","",'Livre de paie'!K57)</f>
        <v/>
      </c>
      <c r="F57" s="83">
        <f>IF($A57="","",'Livre de paie'!L57)</f>
        <v/>
      </c>
      <c r="G57" s="83">
        <f>IF($A57="","",'Livre de paie'!M57)</f>
        <v/>
      </c>
      <c r="H57" s="83">
        <f>IF($A57="","",'Livre de paie'!N57)</f>
        <v/>
      </c>
      <c r="I57" s="83">
        <f>IF($A57="","",E57)</f>
        <v/>
      </c>
      <c r="J57" s="83">
        <f>IF($A57="","",F57+G57+H57)</f>
        <v/>
      </c>
      <c r="K57" s="83">
        <f>IF($A57="","",I57+J57)</f>
        <v/>
      </c>
    </row>
    <row r="58" ht="15" customHeight="1" s="71">
      <c r="A58" s="82">
        <f>IF('Livre de paie'!A58="","",'Livre de paie'!A58)</f>
        <v/>
      </c>
      <c r="B58" s="82">
        <f>IF($A58="","",'Livre de paie'!B58)</f>
        <v/>
      </c>
      <c r="C58" s="82">
        <f>IF($A58="","",IFERROR(VLOOKUP($A58,Employés!$A:$G,7,0),""))</f>
        <v/>
      </c>
      <c r="D58" s="83">
        <f>IF($A58="","",'Livre de paie'!J58)</f>
        <v/>
      </c>
      <c r="E58" s="83">
        <f>IF($A58="","",'Livre de paie'!K58)</f>
        <v/>
      </c>
      <c r="F58" s="83">
        <f>IF($A58="","",'Livre de paie'!L58)</f>
        <v/>
      </c>
      <c r="G58" s="83">
        <f>IF($A58="","",'Livre de paie'!M58)</f>
        <v/>
      </c>
      <c r="H58" s="83">
        <f>IF($A58="","",'Livre de paie'!N58)</f>
        <v/>
      </c>
      <c r="I58" s="83">
        <f>IF($A58="","",E58)</f>
        <v/>
      </c>
      <c r="J58" s="83">
        <f>IF($A58="","",F58+G58+H58)</f>
        <v/>
      </c>
      <c r="K58" s="83">
        <f>IF($A58="","",I58+J58)</f>
        <v/>
      </c>
    </row>
    <row r="59" ht="15" customHeight="1" s="71">
      <c r="A59" s="82">
        <f>IF('Livre de paie'!A59="","",'Livre de paie'!A59)</f>
        <v/>
      </c>
      <c r="B59" s="82">
        <f>IF($A59="","",'Livre de paie'!B59)</f>
        <v/>
      </c>
      <c r="C59" s="82">
        <f>IF($A59="","",IFERROR(VLOOKUP($A59,Employés!$A:$G,7,0),""))</f>
        <v/>
      </c>
      <c r="D59" s="83">
        <f>IF($A59="","",'Livre de paie'!J59)</f>
        <v/>
      </c>
      <c r="E59" s="83">
        <f>IF($A59="","",'Livre de paie'!K59)</f>
        <v/>
      </c>
      <c r="F59" s="83">
        <f>IF($A59="","",'Livre de paie'!L59)</f>
        <v/>
      </c>
      <c r="G59" s="83">
        <f>IF($A59="","",'Livre de paie'!M59)</f>
        <v/>
      </c>
      <c r="H59" s="83">
        <f>IF($A59="","",'Livre de paie'!N59)</f>
        <v/>
      </c>
      <c r="I59" s="83">
        <f>IF($A59="","",E59)</f>
        <v/>
      </c>
      <c r="J59" s="83">
        <f>IF($A59="","",F59+G59+H59)</f>
        <v/>
      </c>
      <c r="K59" s="83">
        <f>IF($A59="","",I59+J59)</f>
        <v/>
      </c>
    </row>
    <row r="60" ht="15" customHeight="1" s="71">
      <c r="A60" s="82">
        <f>IF('Livre de paie'!A60="","",'Livre de paie'!A60)</f>
        <v/>
      </c>
      <c r="B60" s="82">
        <f>IF($A60="","",'Livre de paie'!B60)</f>
        <v/>
      </c>
      <c r="C60" s="82">
        <f>IF($A60="","",IFERROR(VLOOKUP($A60,Employés!$A:$G,7,0),""))</f>
        <v/>
      </c>
      <c r="D60" s="83">
        <f>IF($A60="","",'Livre de paie'!J60)</f>
        <v/>
      </c>
      <c r="E60" s="83">
        <f>IF($A60="","",'Livre de paie'!K60)</f>
        <v/>
      </c>
      <c r="F60" s="83">
        <f>IF($A60="","",'Livre de paie'!L60)</f>
        <v/>
      </c>
      <c r="G60" s="83">
        <f>IF($A60="","",'Livre de paie'!M60)</f>
        <v/>
      </c>
      <c r="H60" s="83">
        <f>IF($A60="","",'Livre de paie'!N60)</f>
        <v/>
      </c>
      <c r="I60" s="83">
        <f>IF($A60="","",E60)</f>
        <v/>
      </c>
      <c r="J60" s="83">
        <f>IF($A60="","",F60+G60+H60)</f>
        <v/>
      </c>
      <c r="K60" s="83">
        <f>IF($A60="","",I60+J60)</f>
        <v/>
      </c>
    </row>
    <row r="61" ht="15" customHeight="1" s="71">
      <c r="A61" s="82">
        <f>IF('Livre de paie'!A61="","",'Livre de paie'!A61)</f>
        <v/>
      </c>
      <c r="B61" s="82">
        <f>IF($A61="","",'Livre de paie'!B61)</f>
        <v/>
      </c>
      <c r="C61" s="82">
        <f>IF($A61="","",IFERROR(VLOOKUP($A61,Employés!$A:$G,7,0),""))</f>
        <v/>
      </c>
      <c r="D61" s="83">
        <f>IF($A61="","",'Livre de paie'!J61)</f>
        <v/>
      </c>
      <c r="E61" s="83">
        <f>IF($A61="","",'Livre de paie'!K61)</f>
        <v/>
      </c>
      <c r="F61" s="83">
        <f>IF($A61="","",'Livre de paie'!L61)</f>
        <v/>
      </c>
      <c r="G61" s="83">
        <f>IF($A61="","",'Livre de paie'!M61)</f>
        <v/>
      </c>
      <c r="H61" s="83">
        <f>IF($A61="","",'Livre de paie'!N61)</f>
        <v/>
      </c>
      <c r="I61" s="83">
        <f>IF($A61="","",E61)</f>
        <v/>
      </c>
      <c r="J61" s="83">
        <f>IF($A61="","",F61+G61+H61)</f>
        <v/>
      </c>
      <c r="K61" s="83">
        <f>IF($A61="","",I61+J61)</f>
        <v/>
      </c>
    </row>
    <row r="62" ht="15" customHeight="1" s="71">
      <c r="A62" s="82">
        <f>IF('Livre de paie'!A62="","",'Livre de paie'!A62)</f>
        <v/>
      </c>
      <c r="B62" s="82">
        <f>IF($A62="","",'Livre de paie'!B62)</f>
        <v/>
      </c>
      <c r="C62" s="82">
        <f>IF($A62="","",IFERROR(VLOOKUP($A62,Employés!$A:$G,7,0),""))</f>
        <v/>
      </c>
      <c r="D62" s="83">
        <f>IF($A62="","",'Livre de paie'!J62)</f>
        <v/>
      </c>
      <c r="E62" s="83">
        <f>IF($A62="","",'Livre de paie'!K62)</f>
        <v/>
      </c>
      <c r="F62" s="83">
        <f>IF($A62="","",'Livre de paie'!L62)</f>
        <v/>
      </c>
      <c r="G62" s="83">
        <f>IF($A62="","",'Livre de paie'!M62)</f>
        <v/>
      </c>
      <c r="H62" s="83">
        <f>IF($A62="","",'Livre de paie'!N62)</f>
        <v/>
      </c>
      <c r="I62" s="83">
        <f>IF($A62="","",E62)</f>
        <v/>
      </c>
      <c r="J62" s="83">
        <f>IF($A62="","",F62+G62+H62)</f>
        <v/>
      </c>
      <c r="K62" s="83">
        <f>IF($A62="","",I62+J62)</f>
        <v/>
      </c>
    </row>
    <row r="63" ht="15" customHeight="1" s="71">
      <c r="A63" s="82">
        <f>IF('Livre de paie'!A63="","",'Livre de paie'!A63)</f>
        <v/>
      </c>
      <c r="B63" s="82">
        <f>IF($A63="","",'Livre de paie'!B63)</f>
        <v/>
      </c>
      <c r="C63" s="82">
        <f>IF($A63="","",IFERROR(VLOOKUP($A63,Employés!$A:$G,7,0),""))</f>
        <v/>
      </c>
      <c r="D63" s="83">
        <f>IF($A63="","",'Livre de paie'!J63)</f>
        <v/>
      </c>
      <c r="E63" s="83">
        <f>IF($A63="","",'Livre de paie'!K63)</f>
        <v/>
      </c>
      <c r="F63" s="83">
        <f>IF($A63="","",'Livre de paie'!L63)</f>
        <v/>
      </c>
      <c r="G63" s="83">
        <f>IF($A63="","",'Livre de paie'!M63)</f>
        <v/>
      </c>
      <c r="H63" s="83">
        <f>IF($A63="","",'Livre de paie'!N63)</f>
        <v/>
      </c>
      <c r="I63" s="83">
        <f>IF($A63="","",E63)</f>
        <v/>
      </c>
      <c r="J63" s="83">
        <f>IF($A63="","",F63+G63+H63)</f>
        <v/>
      </c>
      <c r="K63" s="83">
        <f>IF($A63="","",I63+J63)</f>
        <v/>
      </c>
    </row>
    <row r="64" ht="15" customHeight="1" s="71">
      <c r="A64" s="82">
        <f>IF('Livre de paie'!A64="","",'Livre de paie'!A64)</f>
        <v/>
      </c>
      <c r="B64" s="82">
        <f>IF($A64="","",'Livre de paie'!B64)</f>
        <v/>
      </c>
      <c r="C64" s="82">
        <f>IF($A64="","",IFERROR(VLOOKUP($A64,Employés!$A:$G,7,0),""))</f>
        <v/>
      </c>
      <c r="D64" s="83">
        <f>IF($A64="","",'Livre de paie'!J64)</f>
        <v/>
      </c>
      <c r="E64" s="83">
        <f>IF($A64="","",'Livre de paie'!K64)</f>
        <v/>
      </c>
      <c r="F64" s="83">
        <f>IF($A64="","",'Livre de paie'!L64)</f>
        <v/>
      </c>
      <c r="G64" s="83">
        <f>IF($A64="","",'Livre de paie'!M64)</f>
        <v/>
      </c>
      <c r="H64" s="83">
        <f>IF($A64="","",'Livre de paie'!N64)</f>
        <v/>
      </c>
      <c r="I64" s="83">
        <f>IF($A64="","",E64)</f>
        <v/>
      </c>
      <c r="J64" s="83">
        <f>IF($A64="","",F64+G64+H64)</f>
        <v/>
      </c>
      <c r="K64" s="83">
        <f>IF($A64="","",I64+J64)</f>
        <v/>
      </c>
    </row>
    <row r="66" ht="15" customHeight="1" s="71">
      <c r="A66" s="108" t="inlineStr">
        <is>
          <t>TOTAL À VERSER À LA CNPS</t>
        </is>
      </c>
      <c r="D66" s="109">
        <f>SUM(D5:D64)</f>
        <v/>
      </c>
      <c r="E66" s="109">
        <f>SUM(E5:E64)</f>
        <v/>
      </c>
      <c r="F66" s="109">
        <f>SUM(F5:F64)</f>
        <v/>
      </c>
      <c r="G66" s="109">
        <f>SUM(G5:G64)</f>
        <v/>
      </c>
      <c r="H66" s="109">
        <f>SUM(H5:H64)</f>
        <v/>
      </c>
      <c r="I66" s="109">
        <f>SUM(I5:I64)</f>
        <v/>
      </c>
      <c r="J66" s="109">
        <f>SUM(J5:J64)</f>
        <v/>
      </c>
      <c r="K66" s="109">
        <f>SUM(K5:K64)</f>
        <v/>
      </c>
    </row>
    <row r="69" ht="15" customHeight="1" s="71">
      <c r="A69" s="80" t="inlineStr">
        <is>
          <t>BORDEREAU DE VERSEMENT CNPS</t>
        </is>
      </c>
    </row>
    <row r="70" ht="15" customHeight="1" s="71">
      <c r="A70" s="89" t="inlineStr">
        <is>
          <t>Cotisation salariale PVID</t>
        </is>
      </c>
      <c r="D70" s="139">
        <f>I66</f>
        <v/>
      </c>
    </row>
    <row r="71" ht="15" customHeight="1" s="71">
      <c r="A71" s="89" t="inlineStr">
        <is>
          <t>Cotisation patronale PVID</t>
        </is>
      </c>
      <c r="D71" s="139">
        <f>F66</f>
        <v/>
      </c>
    </row>
    <row r="72" ht="15" customHeight="1" s="71">
      <c r="A72" s="89" t="inlineStr">
        <is>
          <t>Cotisation patronale Prestations familiales</t>
        </is>
      </c>
      <c r="D72" s="139">
        <f>G66</f>
        <v/>
      </c>
    </row>
    <row r="73" ht="15" customHeight="1" s="71">
      <c r="A73" s="89" t="inlineStr">
        <is>
          <t>Cotisation patronale Accidents du travail</t>
        </is>
      </c>
      <c r="D73" s="139">
        <f>H66</f>
        <v/>
      </c>
    </row>
    <row r="74" ht="15" customHeight="1" s="71">
      <c r="A74" s="88" t="inlineStr">
        <is>
          <t>TOTAL GÉNÉRAL À VERSER</t>
        </is>
      </c>
      <c r="D74" s="103">
        <f>K66</f>
        <v/>
      </c>
    </row>
  </sheetData>
  <mergeCells count="2">
    <mergeCell ref="A2:K2"/>
    <mergeCell ref="A1:K1"/>
  </mergeCell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0.xml><?xml version="1.0" encoding="utf-8"?>
<worksheet xmlns="http://schemas.openxmlformats.org/spreadsheetml/2006/main">
  <sheetPr filterMode="0">
    <outlinePr summaryBelow="1" summaryRight="1"/>
    <pageSetUpPr fitToPage="0"/>
  </sheetPr>
  <dimension ref="A1:M7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71484375" defaultRowHeight="15" zeroHeight="0" outlineLevelRow="0"/>
  <cols>
    <col width="12" customWidth="1" style="70" min="1" max="1"/>
    <col width="32" customWidth="1" style="70" min="2" max="2"/>
    <col width="13" customWidth="1" style="70" min="3" max="13"/>
  </cols>
  <sheetData>
    <row r="1" ht="15.75" customHeight="1" s="71">
      <c r="A1" s="99">
        <f>"DÉCLARATION FISCALE MENSUELLE (IRPP/CAC/CFC/FNE/TC/RAV) — ECLOSION EDITION SARL — "&amp;PERIODE_LIBELLE</f>
        <v/>
      </c>
    </row>
    <row r="2" ht="15" customHeight="1" s="71">
      <c r="A2" s="89" t="inlineStr">
        <is>
          <t>NIU employeur : M021912751174Y · RCCM : RC/YAO/2019/B/144 · Généré automatiquement depuis le Livre de paie.</t>
        </is>
      </c>
    </row>
    <row r="4" ht="18.75" customHeight="1" s="71">
      <c r="A4" s="107" t="inlineStr">
        <is>
          <t>Matricule</t>
        </is>
      </c>
      <c r="B4" s="107" t="inlineStr">
        <is>
          <t>Nom &amp; Prénom</t>
        </is>
      </c>
      <c r="C4" s="107" t="inlineStr">
        <is>
          <t>Assiette fiscale</t>
        </is>
      </c>
      <c r="D4" s="107">
        <f>"IRPP"</f>
        <v/>
      </c>
      <c r="E4" s="107">
        <f>"CAC ("&amp;ROUND(TX_CAC*100,0)&amp;"% IRPP)"</f>
        <v/>
      </c>
      <c r="F4" s="107">
        <f>"CFC salarié ("&amp;ROUND(TX_CFC_SAL*100,2)&amp;"%)"</f>
        <v/>
      </c>
      <c r="G4" s="107">
        <f>"CFC patronal ("&amp;ROUND(TX_CFC_PAT*100,2)&amp;"%)"</f>
        <v/>
      </c>
      <c r="H4" s="107">
        <f>"FNE ("&amp;ROUND(TX_FNE*100,2)&amp;"%)"</f>
        <v/>
      </c>
      <c r="I4" s="107">
        <f>"Taxe communale"</f>
        <v/>
      </c>
      <c r="J4" s="107">
        <f>"RAV"</f>
        <v/>
      </c>
      <c r="K4" s="107">
        <f>"Total retenues salarié"</f>
        <v/>
      </c>
      <c r="L4" s="107">
        <f>"Total charges patronales"</f>
        <v/>
      </c>
      <c r="M4" s="107">
        <f>"TOTAL À REVERSER"</f>
        <v/>
      </c>
    </row>
    <row r="5" ht="15" customHeight="1" s="71">
      <c r="A5" s="82">
        <f>IF('Livre de paie'!A5="","",'Livre de paie'!A5)</f>
        <v/>
      </c>
      <c r="B5" s="82">
        <f>IF($A5="","",'Livre de paie'!B5)</f>
        <v/>
      </c>
      <c r="C5" s="83">
        <f>IF($A5="","",'Livre de paie'!I5)</f>
        <v/>
      </c>
      <c r="D5" s="83">
        <f>IF($A5="","",ROUND('Livre de paie'!U5/(1+TX_CAC),0))</f>
        <v/>
      </c>
      <c r="E5" s="83">
        <f>IF($A5="","",'Livre de paie'!U5-D5)</f>
        <v/>
      </c>
      <c r="F5" s="83">
        <f>IF($A5="","",'Livre de paie'!O5)</f>
        <v/>
      </c>
      <c r="G5" s="83">
        <f>IF($A5="","",'Livre de paie'!P5)</f>
        <v/>
      </c>
      <c r="H5" s="83">
        <f>IF($A5="","",'Livre de paie'!Q5)</f>
        <v/>
      </c>
      <c r="I5" s="83">
        <f>IF($A5="","",'Livre de paie'!R5)</f>
        <v/>
      </c>
      <c r="J5" s="83">
        <f>IF($A5="","",'Livre de paie'!S5)</f>
        <v/>
      </c>
      <c r="K5" s="83">
        <f>IF($A5="","",D5+E5+F5+I5+J5)</f>
        <v/>
      </c>
      <c r="L5" s="83">
        <f>IF($A5="","",G5+H5)</f>
        <v/>
      </c>
      <c r="M5" s="83">
        <f>IF($A5="","",K5+L5)</f>
        <v/>
      </c>
    </row>
    <row r="6" ht="15" customHeight="1" s="71">
      <c r="A6" s="82">
        <f>IF('Livre de paie'!A6="","",'Livre de paie'!A6)</f>
        <v/>
      </c>
      <c r="B6" s="82">
        <f>IF($A6="","",'Livre de paie'!B6)</f>
        <v/>
      </c>
      <c r="C6" s="83">
        <f>IF($A6="","",'Livre de paie'!I6)</f>
        <v/>
      </c>
      <c r="D6" s="83">
        <f>IF($A6="","",ROUND('Livre de paie'!U6/(1+TX_CAC),0))</f>
        <v/>
      </c>
      <c r="E6" s="83">
        <f>IF($A6="","",'Livre de paie'!U6-D6)</f>
        <v/>
      </c>
      <c r="F6" s="83">
        <f>IF($A6="","",'Livre de paie'!O6)</f>
        <v/>
      </c>
      <c r="G6" s="83">
        <f>IF($A6="","",'Livre de paie'!P6)</f>
        <v/>
      </c>
      <c r="H6" s="83">
        <f>IF($A6="","",'Livre de paie'!Q6)</f>
        <v/>
      </c>
      <c r="I6" s="83">
        <f>IF($A6="","",'Livre de paie'!R6)</f>
        <v/>
      </c>
      <c r="J6" s="83">
        <f>IF($A6="","",'Livre de paie'!S6)</f>
        <v/>
      </c>
      <c r="K6" s="83">
        <f>IF($A6="","",D6+E6+F6+I6+J6)</f>
        <v/>
      </c>
      <c r="L6" s="83">
        <f>IF($A6="","",G6+H6)</f>
        <v/>
      </c>
      <c r="M6" s="83">
        <f>IF($A6="","",K6+L6)</f>
        <v/>
      </c>
    </row>
    <row r="7" ht="15" customHeight="1" s="71">
      <c r="A7" s="82">
        <f>IF('Livre de paie'!A7="","",'Livre de paie'!A7)</f>
        <v/>
      </c>
      <c r="B7" s="82">
        <f>IF($A7="","",'Livre de paie'!B7)</f>
        <v/>
      </c>
      <c r="C7" s="83">
        <f>IF($A7="","",'Livre de paie'!I7)</f>
        <v/>
      </c>
      <c r="D7" s="83">
        <f>IF($A7="","",ROUND('Livre de paie'!U7/(1+TX_CAC),0))</f>
        <v/>
      </c>
      <c r="E7" s="83">
        <f>IF($A7="","",'Livre de paie'!U7-D7)</f>
        <v/>
      </c>
      <c r="F7" s="83">
        <f>IF($A7="","",'Livre de paie'!O7)</f>
        <v/>
      </c>
      <c r="G7" s="83">
        <f>IF($A7="","",'Livre de paie'!P7)</f>
        <v/>
      </c>
      <c r="H7" s="83">
        <f>IF($A7="","",'Livre de paie'!Q7)</f>
        <v/>
      </c>
      <c r="I7" s="83">
        <f>IF($A7="","",'Livre de paie'!R7)</f>
        <v/>
      </c>
      <c r="J7" s="83">
        <f>IF($A7="","",'Livre de paie'!S7)</f>
        <v/>
      </c>
      <c r="K7" s="83">
        <f>IF($A7="","",D7+E7+F7+I7+J7)</f>
        <v/>
      </c>
      <c r="L7" s="83">
        <f>IF($A7="","",G7+H7)</f>
        <v/>
      </c>
      <c r="M7" s="83">
        <f>IF($A7="","",K7+L7)</f>
        <v/>
      </c>
    </row>
    <row r="8" ht="15" customHeight="1" s="71">
      <c r="A8" s="82">
        <f>IF('Livre de paie'!A8="","",'Livre de paie'!A8)</f>
        <v/>
      </c>
      <c r="B8" s="82">
        <f>IF($A8="","",'Livre de paie'!B8)</f>
        <v/>
      </c>
      <c r="C8" s="83">
        <f>IF($A8="","",'Livre de paie'!I8)</f>
        <v/>
      </c>
      <c r="D8" s="83">
        <f>IF($A8="","",ROUND('Livre de paie'!U8/(1+TX_CAC),0))</f>
        <v/>
      </c>
      <c r="E8" s="83">
        <f>IF($A8="","",'Livre de paie'!U8-D8)</f>
        <v/>
      </c>
      <c r="F8" s="83">
        <f>IF($A8="","",'Livre de paie'!O8)</f>
        <v/>
      </c>
      <c r="G8" s="83">
        <f>IF($A8="","",'Livre de paie'!P8)</f>
        <v/>
      </c>
      <c r="H8" s="83">
        <f>IF($A8="","",'Livre de paie'!Q8)</f>
        <v/>
      </c>
      <c r="I8" s="83">
        <f>IF($A8="","",'Livre de paie'!R8)</f>
        <v/>
      </c>
      <c r="J8" s="83">
        <f>IF($A8="","",'Livre de paie'!S8)</f>
        <v/>
      </c>
      <c r="K8" s="83">
        <f>IF($A8="","",D8+E8+F8+I8+J8)</f>
        <v/>
      </c>
      <c r="L8" s="83">
        <f>IF($A8="","",G8+H8)</f>
        <v/>
      </c>
      <c r="M8" s="83">
        <f>IF($A8="","",K8+L8)</f>
        <v/>
      </c>
    </row>
    <row r="9" ht="15" customHeight="1" s="71">
      <c r="A9" s="82">
        <f>IF('Livre de paie'!A9="","",'Livre de paie'!A9)</f>
        <v/>
      </c>
      <c r="B9" s="82">
        <f>IF($A9="","",'Livre de paie'!B9)</f>
        <v/>
      </c>
      <c r="C9" s="83">
        <f>IF($A9="","",'Livre de paie'!I9)</f>
        <v/>
      </c>
      <c r="D9" s="83">
        <f>IF($A9="","",ROUND('Livre de paie'!U9/(1+TX_CAC),0))</f>
        <v/>
      </c>
      <c r="E9" s="83">
        <f>IF($A9="","",'Livre de paie'!U9-D9)</f>
        <v/>
      </c>
      <c r="F9" s="83">
        <f>IF($A9="","",'Livre de paie'!O9)</f>
        <v/>
      </c>
      <c r="G9" s="83">
        <f>IF($A9="","",'Livre de paie'!P9)</f>
        <v/>
      </c>
      <c r="H9" s="83">
        <f>IF($A9="","",'Livre de paie'!Q9)</f>
        <v/>
      </c>
      <c r="I9" s="83">
        <f>IF($A9="","",'Livre de paie'!R9)</f>
        <v/>
      </c>
      <c r="J9" s="83">
        <f>IF($A9="","",'Livre de paie'!S9)</f>
        <v/>
      </c>
      <c r="K9" s="83">
        <f>IF($A9="","",D9+E9+F9+I9+J9)</f>
        <v/>
      </c>
      <c r="L9" s="83">
        <f>IF($A9="","",G9+H9)</f>
        <v/>
      </c>
      <c r="M9" s="83">
        <f>IF($A9="","",K9+L9)</f>
        <v/>
      </c>
    </row>
    <row r="10" ht="15" customHeight="1" s="71">
      <c r="A10" s="82">
        <f>IF('Livre de paie'!A10="","",'Livre de paie'!A10)</f>
        <v/>
      </c>
      <c r="B10" s="82">
        <f>IF($A10="","",'Livre de paie'!B10)</f>
        <v/>
      </c>
      <c r="C10" s="83">
        <f>IF($A10="","",'Livre de paie'!I10)</f>
        <v/>
      </c>
      <c r="D10" s="83">
        <f>IF($A10="","",ROUND('Livre de paie'!U10/(1+TX_CAC),0))</f>
        <v/>
      </c>
      <c r="E10" s="83">
        <f>IF($A10="","",'Livre de paie'!U10-D10)</f>
        <v/>
      </c>
      <c r="F10" s="83">
        <f>IF($A10="","",'Livre de paie'!O10)</f>
        <v/>
      </c>
      <c r="G10" s="83">
        <f>IF($A10="","",'Livre de paie'!P10)</f>
        <v/>
      </c>
      <c r="H10" s="83">
        <f>IF($A10="","",'Livre de paie'!Q10)</f>
        <v/>
      </c>
      <c r="I10" s="83">
        <f>IF($A10="","",'Livre de paie'!R10)</f>
        <v/>
      </c>
      <c r="J10" s="83">
        <f>IF($A10="","",'Livre de paie'!S10)</f>
        <v/>
      </c>
      <c r="K10" s="83">
        <f>IF($A10="","",D10+E10+F10+I10+J10)</f>
        <v/>
      </c>
      <c r="L10" s="83">
        <f>IF($A10="","",G10+H10)</f>
        <v/>
      </c>
      <c r="M10" s="83">
        <f>IF($A10="","",K10+L10)</f>
        <v/>
      </c>
    </row>
    <row r="11" ht="15" customHeight="1" s="71">
      <c r="A11" s="82">
        <f>IF('Livre de paie'!A11="","",'Livre de paie'!A11)</f>
        <v/>
      </c>
      <c r="B11" s="82">
        <f>IF($A11="","",'Livre de paie'!B11)</f>
        <v/>
      </c>
      <c r="C11" s="83">
        <f>IF($A11="","",'Livre de paie'!I11)</f>
        <v/>
      </c>
      <c r="D11" s="83">
        <f>IF($A11="","",ROUND('Livre de paie'!U11/(1+TX_CAC),0))</f>
        <v/>
      </c>
      <c r="E11" s="83">
        <f>IF($A11="","",'Livre de paie'!U11-D11)</f>
        <v/>
      </c>
      <c r="F11" s="83">
        <f>IF($A11="","",'Livre de paie'!O11)</f>
        <v/>
      </c>
      <c r="G11" s="83">
        <f>IF($A11="","",'Livre de paie'!P11)</f>
        <v/>
      </c>
      <c r="H11" s="83">
        <f>IF($A11="","",'Livre de paie'!Q11)</f>
        <v/>
      </c>
      <c r="I11" s="83">
        <f>IF($A11="","",'Livre de paie'!R11)</f>
        <v/>
      </c>
      <c r="J11" s="83">
        <f>IF($A11="","",'Livre de paie'!S11)</f>
        <v/>
      </c>
      <c r="K11" s="83">
        <f>IF($A11="","",D11+E11+F11+I11+J11)</f>
        <v/>
      </c>
      <c r="L11" s="83">
        <f>IF($A11="","",G11+H11)</f>
        <v/>
      </c>
      <c r="M11" s="83">
        <f>IF($A11="","",K11+L11)</f>
        <v/>
      </c>
    </row>
    <row r="12" ht="15" customHeight="1" s="71">
      <c r="A12" s="82">
        <f>IF('Livre de paie'!A12="","",'Livre de paie'!A12)</f>
        <v/>
      </c>
      <c r="B12" s="82">
        <f>IF($A12="","",'Livre de paie'!B12)</f>
        <v/>
      </c>
      <c r="C12" s="83">
        <f>IF($A12="","",'Livre de paie'!I12)</f>
        <v/>
      </c>
      <c r="D12" s="83">
        <f>IF($A12="","",ROUND('Livre de paie'!U12/(1+TX_CAC),0))</f>
        <v/>
      </c>
      <c r="E12" s="83">
        <f>IF($A12="","",'Livre de paie'!U12-D12)</f>
        <v/>
      </c>
      <c r="F12" s="83">
        <f>IF($A12="","",'Livre de paie'!O12)</f>
        <v/>
      </c>
      <c r="G12" s="83">
        <f>IF($A12="","",'Livre de paie'!P12)</f>
        <v/>
      </c>
      <c r="H12" s="83">
        <f>IF($A12="","",'Livre de paie'!Q12)</f>
        <v/>
      </c>
      <c r="I12" s="83">
        <f>IF($A12="","",'Livre de paie'!R12)</f>
        <v/>
      </c>
      <c r="J12" s="83">
        <f>IF($A12="","",'Livre de paie'!S12)</f>
        <v/>
      </c>
      <c r="K12" s="83">
        <f>IF($A12="","",D12+E12+F12+I12+J12)</f>
        <v/>
      </c>
      <c r="L12" s="83">
        <f>IF($A12="","",G12+H12)</f>
        <v/>
      </c>
      <c r="M12" s="83">
        <f>IF($A12="","",K12+L12)</f>
        <v/>
      </c>
    </row>
    <row r="13" ht="15" customHeight="1" s="71">
      <c r="A13" s="82">
        <f>IF('Livre de paie'!A13="","",'Livre de paie'!A13)</f>
        <v/>
      </c>
      <c r="B13" s="82">
        <f>IF($A13="","",'Livre de paie'!B13)</f>
        <v/>
      </c>
      <c r="C13" s="83">
        <f>IF($A13="","",'Livre de paie'!I13)</f>
        <v/>
      </c>
      <c r="D13" s="83">
        <f>IF($A13="","",ROUND('Livre de paie'!U13/(1+TX_CAC),0))</f>
        <v/>
      </c>
      <c r="E13" s="83">
        <f>IF($A13="","",'Livre de paie'!U13-D13)</f>
        <v/>
      </c>
      <c r="F13" s="83">
        <f>IF($A13="","",'Livre de paie'!O13)</f>
        <v/>
      </c>
      <c r="G13" s="83">
        <f>IF($A13="","",'Livre de paie'!P13)</f>
        <v/>
      </c>
      <c r="H13" s="83">
        <f>IF($A13="","",'Livre de paie'!Q13)</f>
        <v/>
      </c>
      <c r="I13" s="83">
        <f>IF($A13="","",'Livre de paie'!R13)</f>
        <v/>
      </c>
      <c r="J13" s="83">
        <f>IF($A13="","",'Livre de paie'!S13)</f>
        <v/>
      </c>
      <c r="K13" s="83">
        <f>IF($A13="","",D13+E13+F13+I13+J13)</f>
        <v/>
      </c>
      <c r="L13" s="83">
        <f>IF($A13="","",G13+H13)</f>
        <v/>
      </c>
      <c r="M13" s="83">
        <f>IF($A13="","",K13+L13)</f>
        <v/>
      </c>
    </row>
    <row r="14" ht="15" customHeight="1" s="71">
      <c r="A14" s="82">
        <f>IF('Livre de paie'!A14="","",'Livre de paie'!A14)</f>
        <v/>
      </c>
      <c r="B14" s="82">
        <f>IF($A14="","",'Livre de paie'!B14)</f>
        <v/>
      </c>
      <c r="C14" s="83">
        <f>IF($A14="","",'Livre de paie'!I14)</f>
        <v/>
      </c>
      <c r="D14" s="83">
        <f>IF($A14="","",ROUND('Livre de paie'!U14/(1+TX_CAC),0))</f>
        <v/>
      </c>
      <c r="E14" s="83">
        <f>IF($A14="","",'Livre de paie'!U14-D14)</f>
        <v/>
      </c>
      <c r="F14" s="83">
        <f>IF($A14="","",'Livre de paie'!O14)</f>
        <v/>
      </c>
      <c r="G14" s="83">
        <f>IF($A14="","",'Livre de paie'!P14)</f>
        <v/>
      </c>
      <c r="H14" s="83">
        <f>IF($A14="","",'Livre de paie'!Q14)</f>
        <v/>
      </c>
      <c r="I14" s="83">
        <f>IF($A14="","",'Livre de paie'!R14)</f>
        <v/>
      </c>
      <c r="J14" s="83">
        <f>IF($A14="","",'Livre de paie'!S14)</f>
        <v/>
      </c>
      <c r="K14" s="83">
        <f>IF($A14="","",D14+E14+F14+I14+J14)</f>
        <v/>
      </c>
      <c r="L14" s="83">
        <f>IF($A14="","",G14+H14)</f>
        <v/>
      </c>
      <c r="M14" s="83">
        <f>IF($A14="","",K14+L14)</f>
        <v/>
      </c>
    </row>
    <row r="15" ht="15" customHeight="1" s="71">
      <c r="A15" s="82">
        <f>IF('Livre de paie'!A15="","",'Livre de paie'!A15)</f>
        <v/>
      </c>
      <c r="B15" s="82">
        <f>IF($A15="","",'Livre de paie'!B15)</f>
        <v/>
      </c>
      <c r="C15" s="83">
        <f>IF($A15="","",'Livre de paie'!I15)</f>
        <v/>
      </c>
      <c r="D15" s="83">
        <f>IF($A15="","",ROUND('Livre de paie'!U15/(1+TX_CAC),0))</f>
        <v/>
      </c>
      <c r="E15" s="83">
        <f>IF($A15="","",'Livre de paie'!U15-D15)</f>
        <v/>
      </c>
      <c r="F15" s="83">
        <f>IF($A15="","",'Livre de paie'!O15)</f>
        <v/>
      </c>
      <c r="G15" s="83">
        <f>IF($A15="","",'Livre de paie'!P15)</f>
        <v/>
      </c>
      <c r="H15" s="83">
        <f>IF($A15="","",'Livre de paie'!Q15)</f>
        <v/>
      </c>
      <c r="I15" s="83">
        <f>IF($A15="","",'Livre de paie'!R15)</f>
        <v/>
      </c>
      <c r="J15" s="83">
        <f>IF($A15="","",'Livre de paie'!S15)</f>
        <v/>
      </c>
      <c r="K15" s="83">
        <f>IF($A15="","",D15+E15+F15+I15+J15)</f>
        <v/>
      </c>
      <c r="L15" s="83">
        <f>IF($A15="","",G15+H15)</f>
        <v/>
      </c>
      <c r="M15" s="83">
        <f>IF($A15="","",K15+L15)</f>
        <v/>
      </c>
    </row>
    <row r="16" ht="15" customHeight="1" s="71">
      <c r="A16" s="82">
        <f>IF('Livre de paie'!A16="","",'Livre de paie'!A16)</f>
        <v/>
      </c>
      <c r="B16" s="82">
        <f>IF($A16="","",'Livre de paie'!B16)</f>
        <v/>
      </c>
      <c r="C16" s="83">
        <f>IF($A16="","",'Livre de paie'!I16)</f>
        <v/>
      </c>
      <c r="D16" s="83">
        <f>IF($A16="","",ROUND('Livre de paie'!U16/(1+TX_CAC),0))</f>
        <v/>
      </c>
      <c r="E16" s="83">
        <f>IF($A16="","",'Livre de paie'!U16-D16)</f>
        <v/>
      </c>
      <c r="F16" s="83">
        <f>IF($A16="","",'Livre de paie'!O16)</f>
        <v/>
      </c>
      <c r="G16" s="83">
        <f>IF($A16="","",'Livre de paie'!P16)</f>
        <v/>
      </c>
      <c r="H16" s="83">
        <f>IF($A16="","",'Livre de paie'!Q16)</f>
        <v/>
      </c>
      <c r="I16" s="83">
        <f>IF($A16="","",'Livre de paie'!R16)</f>
        <v/>
      </c>
      <c r="J16" s="83">
        <f>IF($A16="","",'Livre de paie'!S16)</f>
        <v/>
      </c>
      <c r="K16" s="83">
        <f>IF($A16="","",D16+E16+F16+I16+J16)</f>
        <v/>
      </c>
      <c r="L16" s="83">
        <f>IF($A16="","",G16+H16)</f>
        <v/>
      </c>
      <c r="M16" s="83">
        <f>IF($A16="","",K16+L16)</f>
        <v/>
      </c>
    </row>
    <row r="17" ht="15" customHeight="1" s="71">
      <c r="A17" s="82">
        <f>IF('Livre de paie'!A17="","",'Livre de paie'!A17)</f>
        <v/>
      </c>
      <c r="B17" s="82">
        <f>IF($A17="","",'Livre de paie'!B17)</f>
        <v/>
      </c>
      <c r="C17" s="83">
        <f>IF($A17="","",'Livre de paie'!I17)</f>
        <v/>
      </c>
      <c r="D17" s="83">
        <f>IF($A17="","",ROUND('Livre de paie'!U17/(1+TX_CAC),0))</f>
        <v/>
      </c>
      <c r="E17" s="83">
        <f>IF($A17="","",'Livre de paie'!U17-D17)</f>
        <v/>
      </c>
      <c r="F17" s="83">
        <f>IF($A17="","",'Livre de paie'!O17)</f>
        <v/>
      </c>
      <c r="G17" s="83">
        <f>IF($A17="","",'Livre de paie'!P17)</f>
        <v/>
      </c>
      <c r="H17" s="83">
        <f>IF($A17="","",'Livre de paie'!Q17)</f>
        <v/>
      </c>
      <c r="I17" s="83">
        <f>IF($A17="","",'Livre de paie'!R17)</f>
        <v/>
      </c>
      <c r="J17" s="83">
        <f>IF($A17="","",'Livre de paie'!S17)</f>
        <v/>
      </c>
      <c r="K17" s="83">
        <f>IF($A17="","",D17+E17+F17+I17+J17)</f>
        <v/>
      </c>
      <c r="L17" s="83">
        <f>IF($A17="","",G17+H17)</f>
        <v/>
      </c>
      <c r="M17" s="83">
        <f>IF($A17="","",K17+L17)</f>
        <v/>
      </c>
    </row>
    <row r="18" ht="15" customHeight="1" s="71">
      <c r="A18" s="82">
        <f>IF('Livre de paie'!A18="","",'Livre de paie'!A18)</f>
        <v/>
      </c>
      <c r="B18" s="82">
        <f>IF($A18="","",'Livre de paie'!B18)</f>
        <v/>
      </c>
      <c r="C18" s="83">
        <f>IF($A18="","",'Livre de paie'!I18)</f>
        <v/>
      </c>
      <c r="D18" s="83">
        <f>IF($A18="","",ROUND('Livre de paie'!U18/(1+TX_CAC),0))</f>
        <v/>
      </c>
      <c r="E18" s="83">
        <f>IF($A18="","",'Livre de paie'!U18-D18)</f>
        <v/>
      </c>
      <c r="F18" s="83">
        <f>IF($A18="","",'Livre de paie'!O18)</f>
        <v/>
      </c>
      <c r="G18" s="83">
        <f>IF($A18="","",'Livre de paie'!P18)</f>
        <v/>
      </c>
      <c r="H18" s="83">
        <f>IF($A18="","",'Livre de paie'!Q18)</f>
        <v/>
      </c>
      <c r="I18" s="83">
        <f>IF($A18="","",'Livre de paie'!R18)</f>
        <v/>
      </c>
      <c r="J18" s="83">
        <f>IF($A18="","",'Livre de paie'!S18)</f>
        <v/>
      </c>
      <c r="K18" s="83">
        <f>IF($A18="","",D18+E18+F18+I18+J18)</f>
        <v/>
      </c>
      <c r="L18" s="83">
        <f>IF($A18="","",G18+H18)</f>
        <v/>
      </c>
      <c r="M18" s="83">
        <f>IF($A18="","",K18+L18)</f>
        <v/>
      </c>
    </row>
    <row r="19" ht="15" customHeight="1" s="71">
      <c r="A19" s="82">
        <f>IF('Livre de paie'!A19="","",'Livre de paie'!A19)</f>
        <v/>
      </c>
      <c r="B19" s="82">
        <f>IF($A19="","",'Livre de paie'!B19)</f>
        <v/>
      </c>
      <c r="C19" s="83">
        <f>IF($A19="","",'Livre de paie'!I19)</f>
        <v/>
      </c>
      <c r="D19" s="83">
        <f>IF($A19="","",ROUND('Livre de paie'!U19/(1+TX_CAC),0))</f>
        <v/>
      </c>
      <c r="E19" s="83">
        <f>IF($A19="","",'Livre de paie'!U19-D19)</f>
        <v/>
      </c>
      <c r="F19" s="83">
        <f>IF($A19="","",'Livre de paie'!O19)</f>
        <v/>
      </c>
      <c r="G19" s="83">
        <f>IF($A19="","",'Livre de paie'!P19)</f>
        <v/>
      </c>
      <c r="H19" s="83">
        <f>IF($A19="","",'Livre de paie'!Q19)</f>
        <v/>
      </c>
      <c r="I19" s="83">
        <f>IF($A19="","",'Livre de paie'!R19)</f>
        <v/>
      </c>
      <c r="J19" s="83">
        <f>IF($A19="","",'Livre de paie'!S19)</f>
        <v/>
      </c>
      <c r="K19" s="83">
        <f>IF($A19="","",D19+E19+F19+I19+J19)</f>
        <v/>
      </c>
      <c r="L19" s="83">
        <f>IF($A19="","",G19+H19)</f>
        <v/>
      </c>
      <c r="M19" s="83">
        <f>IF($A19="","",K19+L19)</f>
        <v/>
      </c>
    </row>
    <row r="20" ht="15" customHeight="1" s="71">
      <c r="A20" s="82">
        <f>IF('Livre de paie'!A20="","",'Livre de paie'!A20)</f>
        <v/>
      </c>
      <c r="B20" s="82">
        <f>IF($A20="","",'Livre de paie'!B20)</f>
        <v/>
      </c>
      <c r="C20" s="83">
        <f>IF($A20="","",'Livre de paie'!I20)</f>
        <v/>
      </c>
      <c r="D20" s="83">
        <f>IF($A20="","",ROUND('Livre de paie'!U20/(1+TX_CAC),0))</f>
        <v/>
      </c>
      <c r="E20" s="83">
        <f>IF($A20="","",'Livre de paie'!U20-D20)</f>
        <v/>
      </c>
      <c r="F20" s="83">
        <f>IF($A20="","",'Livre de paie'!O20)</f>
        <v/>
      </c>
      <c r="G20" s="83">
        <f>IF($A20="","",'Livre de paie'!P20)</f>
        <v/>
      </c>
      <c r="H20" s="83">
        <f>IF($A20="","",'Livre de paie'!Q20)</f>
        <v/>
      </c>
      <c r="I20" s="83">
        <f>IF($A20="","",'Livre de paie'!R20)</f>
        <v/>
      </c>
      <c r="J20" s="83">
        <f>IF($A20="","",'Livre de paie'!S20)</f>
        <v/>
      </c>
      <c r="K20" s="83">
        <f>IF($A20="","",D20+E20+F20+I20+J20)</f>
        <v/>
      </c>
      <c r="L20" s="83">
        <f>IF($A20="","",G20+H20)</f>
        <v/>
      </c>
      <c r="M20" s="83">
        <f>IF($A20="","",K20+L20)</f>
        <v/>
      </c>
    </row>
    <row r="21" ht="15" customHeight="1" s="71">
      <c r="A21" s="82">
        <f>IF('Livre de paie'!A21="","",'Livre de paie'!A21)</f>
        <v/>
      </c>
      <c r="B21" s="82">
        <f>IF($A21="","",'Livre de paie'!B21)</f>
        <v/>
      </c>
      <c r="C21" s="83">
        <f>IF($A21="","",'Livre de paie'!I21)</f>
        <v/>
      </c>
      <c r="D21" s="83">
        <f>IF($A21="","",ROUND('Livre de paie'!U21/(1+TX_CAC),0))</f>
        <v/>
      </c>
      <c r="E21" s="83">
        <f>IF($A21="","",'Livre de paie'!U21-D21)</f>
        <v/>
      </c>
      <c r="F21" s="83">
        <f>IF($A21="","",'Livre de paie'!O21)</f>
        <v/>
      </c>
      <c r="G21" s="83">
        <f>IF($A21="","",'Livre de paie'!P21)</f>
        <v/>
      </c>
      <c r="H21" s="83">
        <f>IF($A21="","",'Livre de paie'!Q21)</f>
        <v/>
      </c>
      <c r="I21" s="83">
        <f>IF($A21="","",'Livre de paie'!R21)</f>
        <v/>
      </c>
      <c r="J21" s="83">
        <f>IF($A21="","",'Livre de paie'!S21)</f>
        <v/>
      </c>
      <c r="K21" s="83">
        <f>IF($A21="","",D21+E21+F21+I21+J21)</f>
        <v/>
      </c>
      <c r="L21" s="83">
        <f>IF($A21="","",G21+H21)</f>
        <v/>
      </c>
      <c r="M21" s="83">
        <f>IF($A21="","",K21+L21)</f>
        <v/>
      </c>
    </row>
    <row r="22" ht="15" customHeight="1" s="71">
      <c r="A22" s="82">
        <f>IF('Livre de paie'!A22="","",'Livre de paie'!A22)</f>
        <v/>
      </c>
      <c r="B22" s="82">
        <f>IF($A22="","",'Livre de paie'!B22)</f>
        <v/>
      </c>
      <c r="C22" s="83">
        <f>IF($A22="","",'Livre de paie'!I22)</f>
        <v/>
      </c>
      <c r="D22" s="83">
        <f>IF($A22="","",ROUND('Livre de paie'!U22/(1+TX_CAC),0))</f>
        <v/>
      </c>
      <c r="E22" s="83">
        <f>IF($A22="","",'Livre de paie'!U22-D22)</f>
        <v/>
      </c>
      <c r="F22" s="83">
        <f>IF($A22="","",'Livre de paie'!O22)</f>
        <v/>
      </c>
      <c r="G22" s="83">
        <f>IF($A22="","",'Livre de paie'!P22)</f>
        <v/>
      </c>
      <c r="H22" s="83">
        <f>IF($A22="","",'Livre de paie'!Q22)</f>
        <v/>
      </c>
      <c r="I22" s="83">
        <f>IF($A22="","",'Livre de paie'!R22)</f>
        <v/>
      </c>
      <c r="J22" s="83">
        <f>IF($A22="","",'Livre de paie'!S22)</f>
        <v/>
      </c>
      <c r="K22" s="83">
        <f>IF($A22="","",D22+E22+F22+I22+J22)</f>
        <v/>
      </c>
      <c r="L22" s="83">
        <f>IF($A22="","",G22+H22)</f>
        <v/>
      </c>
      <c r="M22" s="83">
        <f>IF($A22="","",K22+L22)</f>
        <v/>
      </c>
    </row>
    <row r="23" ht="15" customHeight="1" s="71">
      <c r="A23" s="82">
        <f>IF('Livre de paie'!A23="","",'Livre de paie'!A23)</f>
        <v/>
      </c>
      <c r="B23" s="82">
        <f>IF($A23="","",'Livre de paie'!B23)</f>
        <v/>
      </c>
      <c r="C23" s="83">
        <f>IF($A23="","",'Livre de paie'!I23)</f>
        <v/>
      </c>
      <c r="D23" s="83">
        <f>IF($A23="","",ROUND('Livre de paie'!U23/(1+TX_CAC),0))</f>
        <v/>
      </c>
      <c r="E23" s="83">
        <f>IF($A23="","",'Livre de paie'!U23-D23)</f>
        <v/>
      </c>
      <c r="F23" s="83">
        <f>IF($A23="","",'Livre de paie'!O23)</f>
        <v/>
      </c>
      <c r="G23" s="83">
        <f>IF($A23="","",'Livre de paie'!P23)</f>
        <v/>
      </c>
      <c r="H23" s="83">
        <f>IF($A23="","",'Livre de paie'!Q23)</f>
        <v/>
      </c>
      <c r="I23" s="83">
        <f>IF($A23="","",'Livre de paie'!R23)</f>
        <v/>
      </c>
      <c r="J23" s="83">
        <f>IF($A23="","",'Livre de paie'!S23)</f>
        <v/>
      </c>
      <c r="K23" s="83">
        <f>IF($A23="","",D23+E23+F23+I23+J23)</f>
        <v/>
      </c>
      <c r="L23" s="83">
        <f>IF($A23="","",G23+H23)</f>
        <v/>
      </c>
      <c r="M23" s="83">
        <f>IF($A23="","",K23+L23)</f>
        <v/>
      </c>
    </row>
    <row r="24" ht="15" customHeight="1" s="71">
      <c r="A24" s="82">
        <f>IF('Livre de paie'!A24="","",'Livre de paie'!A24)</f>
        <v/>
      </c>
      <c r="B24" s="82">
        <f>IF($A24="","",'Livre de paie'!B24)</f>
        <v/>
      </c>
      <c r="C24" s="83">
        <f>IF($A24="","",'Livre de paie'!I24)</f>
        <v/>
      </c>
      <c r="D24" s="83">
        <f>IF($A24="","",ROUND('Livre de paie'!U24/(1+TX_CAC),0))</f>
        <v/>
      </c>
      <c r="E24" s="83">
        <f>IF($A24="","",'Livre de paie'!U24-D24)</f>
        <v/>
      </c>
      <c r="F24" s="83">
        <f>IF($A24="","",'Livre de paie'!O24)</f>
        <v/>
      </c>
      <c r="G24" s="83">
        <f>IF($A24="","",'Livre de paie'!P24)</f>
        <v/>
      </c>
      <c r="H24" s="83">
        <f>IF($A24="","",'Livre de paie'!Q24)</f>
        <v/>
      </c>
      <c r="I24" s="83">
        <f>IF($A24="","",'Livre de paie'!R24)</f>
        <v/>
      </c>
      <c r="J24" s="83">
        <f>IF($A24="","",'Livre de paie'!S24)</f>
        <v/>
      </c>
      <c r="K24" s="83">
        <f>IF($A24="","",D24+E24+F24+I24+J24)</f>
        <v/>
      </c>
      <c r="L24" s="83">
        <f>IF($A24="","",G24+H24)</f>
        <v/>
      </c>
      <c r="M24" s="83">
        <f>IF($A24="","",K24+L24)</f>
        <v/>
      </c>
    </row>
    <row r="25" ht="15" customHeight="1" s="71">
      <c r="A25" s="82">
        <f>IF('Livre de paie'!A25="","",'Livre de paie'!A25)</f>
        <v/>
      </c>
      <c r="B25" s="82">
        <f>IF($A25="","",'Livre de paie'!B25)</f>
        <v/>
      </c>
      <c r="C25" s="83">
        <f>IF($A25="","",'Livre de paie'!I25)</f>
        <v/>
      </c>
      <c r="D25" s="83">
        <f>IF($A25="","",ROUND('Livre de paie'!U25/(1+TX_CAC),0))</f>
        <v/>
      </c>
      <c r="E25" s="83">
        <f>IF($A25="","",'Livre de paie'!U25-D25)</f>
        <v/>
      </c>
      <c r="F25" s="83">
        <f>IF($A25="","",'Livre de paie'!O25)</f>
        <v/>
      </c>
      <c r="G25" s="83">
        <f>IF($A25="","",'Livre de paie'!P25)</f>
        <v/>
      </c>
      <c r="H25" s="83">
        <f>IF($A25="","",'Livre de paie'!Q25)</f>
        <v/>
      </c>
      <c r="I25" s="83">
        <f>IF($A25="","",'Livre de paie'!R25)</f>
        <v/>
      </c>
      <c r="J25" s="83">
        <f>IF($A25="","",'Livre de paie'!S25)</f>
        <v/>
      </c>
      <c r="K25" s="83">
        <f>IF($A25="","",D25+E25+F25+I25+J25)</f>
        <v/>
      </c>
      <c r="L25" s="83">
        <f>IF($A25="","",G25+H25)</f>
        <v/>
      </c>
      <c r="M25" s="83">
        <f>IF($A25="","",K25+L25)</f>
        <v/>
      </c>
    </row>
    <row r="26" ht="15" customHeight="1" s="71">
      <c r="A26" s="82">
        <f>IF('Livre de paie'!A26="","",'Livre de paie'!A26)</f>
        <v/>
      </c>
      <c r="B26" s="82">
        <f>IF($A26="","",'Livre de paie'!B26)</f>
        <v/>
      </c>
      <c r="C26" s="83">
        <f>IF($A26="","",'Livre de paie'!I26)</f>
        <v/>
      </c>
      <c r="D26" s="83">
        <f>IF($A26="","",ROUND('Livre de paie'!U26/(1+TX_CAC),0))</f>
        <v/>
      </c>
      <c r="E26" s="83">
        <f>IF($A26="","",'Livre de paie'!U26-D26)</f>
        <v/>
      </c>
      <c r="F26" s="83">
        <f>IF($A26="","",'Livre de paie'!O26)</f>
        <v/>
      </c>
      <c r="G26" s="83">
        <f>IF($A26="","",'Livre de paie'!P26)</f>
        <v/>
      </c>
      <c r="H26" s="83">
        <f>IF($A26="","",'Livre de paie'!Q26)</f>
        <v/>
      </c>
      <c r="I26" s="83">
        <f>IF($A26="","",'Livre de paie'!R26)</f>
        <v/>
      </c>
      <c r="J26" s="83">
        <f>IF($A26="","",'Livre de paie'!S26)</f>
        <v/>
      </c>
      <c r="K26" s="83">
        <f>IF($A26="","",D26+E26+F26+I26+J26)</f>
        <v/>
      </c>
      <c r="L26" s="83">
        <f>IF($A26="","",G26+H26)</f>
        <v/>
      </c>
      <c r="M26" s="83">
        <f>IF($A26="","",K26+L26)</f>
        <v/>
      </c>
    </row>
    <row r="27" ht="15" customHeight="1" s="71">
      <c r="A27" s="82">
        <f>IF('Livre de paie'!A27="","",'Livre de paie'!A27)</f>
        <v/>
      </c>
      <c r="B27" s="82">
        <f>IF($A27="","",'Livre de paie'!B27)</f>
        <v/>
      </c>
      <c r="C27" s="83">
        <f>IF($A27="","",'Livre de paie'!I27)</f>
        <v/>
      </c>
      <c r="D27" s="83">
        <f>IF($A27="","",ROUND('Livre de paie'!U27/(1+TX_CAC),0))</f>
        <v/>
      </c>
      <c r="E27" s="83">
        <f>IF($A27="","",'Livre de paie'!U27-D27)</f>
        <v/>
      </c>
      <c r="F27" s="83">
        <f>IF($A27="","",'Livre de paie'!O27)</f>
        <v/>
      </c>
      <c r="G27" s="83">
        <f>IF($A27="","",'Livre de paie'!P27)</f>
        <v/>
      </c>
      <c r="H27" s="83">
        <f>IF($A27="","",'Livre de paie'!Q27)</f>
        <v/>
      </c>
      <c r="I27" s="83">
        <f>IF($A27="","",'Livre de paie'!R27)</f>
        <v/>
      </c>
      <c r="J27" s="83">
        <f>IF($A27="","",'Livre de paie'!S27)</f>
        <v/>
      </c>
      <c r="K27" s="83">
        <f>IF($A27="","",D27+E27+F27+I27+J27)</f>
        <v/>
      </c>
      <c r="L27" s="83">
        <f>IF($A27="","",G27+H27)</f>
        <v/>
      </c>
      <c r="M27" s="83">
        <f>IF($A27="","",K27+L27)</f>
        <v/>
      </c>
    </row>
    <row r="28" ht="15" customHeight="1" s="71">
      <c r="A28" s="82">
        <f>IF('Livre de paie'!A28="","",'Livre de paie'!A28)</f>
        <v/>
      </c>
      <c r="B28" s="82">
        <f>IF($A28="","",'Livre de paie'!B28)</f>
        <v/>
      </c>
      <c r="C28" s="83">
        <f>IF($A28="","",'Livre de paie'!I28)</f>
        <v/>
      </c>
      <c r="D28" s="83">
        <f>IF($A28="","",ROUND('Livre de paie'!U28/(1+TX_CAC),0))</f>
        <v/>
      </c>
      <c r="E28" s="83">
        <f>IF($A28="","",'Livre de paie'!U28-D28)</f>
        <v/>
      </c>
      <c r="F28" s="83">
        <f>IF($A28="","",'Livre de paie'!O28)</f>
        <v/>
      </c>
      <c r="G28" s="83">
        <f>IF($A28="","",'Livre de paie'!P28)</f>
        <v/>
      </c>
      <c r="H28" s="83">
        <f>IF($A28="","",'Livre de paie'!Q28)</f>
        <v/>
      </c>
      <c r="I28" s="83">
        <f>IF($A28="","",'Livre de paie'!R28)</f>
        <v/>
      </c>
      <c r="J28" s="83">
        <f>IF($A28="","",'Livre de paie'!S28)</f>
        <v/>
      </c>
      <c r="K28" s="83">
        <f>IF($A28="","",D28+E28+F28+I28+J28)</f>
        <v/>
      </c>
      <c r="L28" s="83">
        <f>IF($A28="","",G28+H28)</f>
        <v/>
      </c>
      <c r="M28" s="83">
        <f>IF($A28="","",K28+L28)</f>
        <v/>
      </c>
    </row>
    <row r="29" ht="15" customHeight="1" s="71">
      <c r="A29" s="82">
        <f>IF('Livre de paie'!A29="","",'Livre de paie'!A29)</f>
        <v/>
      </c>
      <c r="B29" s="82">
        <f>IF($A29="","",'Livre de paie'!B29)</f>
        <v/>
      </c>
      <c r="C29" s="83">
        <f>IF($A29="","",'Livre de paie'!I29)</f>
        <v/>
      </c>
      <c r="D29" s="83">
        <f>IF($A29="","",ROUND('Livre de paie'!U29/(1+TX_CAC),0))</f>
        <v/>
      </c>
      <c r="E29" s="83">
        <f>IF($A29="","",'Livre de paie'!U29-D29)</f>
        <v/>
      </c>
      <c r="F29" s="83">
        <f>IF($A29="","",'Livre de paie'!O29)</f>
        <v/>
      </c>
      <c r="G29" s="83">
        <f>IF($A29="","",'Livre de paie'!P29)</f>
        <v/>
      </c>
      <c r="H29" s="83">
        <f>IF($A29="","",'Livre de paie'!Q29)</f>
        <v/>
      </c>
      <c r="I29" s="83">
        <f>IF($A29="","",'Livre de paie'!R29)</f>
        <v/>
      </c>
      <c r="J29" s="83">
        <f>IF($A29="","",'Livre de paie'!S29)</f>
        <v/>
      </c>
      <c r="K29" s="83">
        <f>IF($A29="","",D29+E29+F29+I29+J29)</f>
        <v/>
      </c>
      <c r="L29" s="83">
        <f>IF($A29="","",G29+H29)</f>
        <v/>
      </c>
      <c r="M29" s="83">
        <f>IF($A29="","",K29+L29)</f>
        <v/>
      </c>
    </row>
    <row r="30" ht="15" customHeight="1" s="71">
      <c r="A30" s="82">
        <f>IF('Livre de paie'!A30="","",'Livre de paie'!A30)</f>
        <v/>
      </c>
      <c r="B30" s="82">
        <f>IF($A30="","",'Livre de paie'!B30)</f>
        <v/>
      </c>
      <c r="C30" s="83">
        <f>IF($A30="","",'Livre de paie'!I30)</f>
        <v/>
      </c>
      <c r="D30" s="83">
        <f>IF($A30="","",ROUND('Livre de paie'!U30/(1+TX_CAC),0))</f>
        <v/>
      </c>
      <c r="E30" s="83">
        <f>IF($A30="","",'Livre de paie'!U30-D30)</f>
        <v/>
      </c>
      <c r="F30" s="83">
        <f>IF($A30="","",'Livre de paie'!O30)</f>
        <v/>
      </c>
      <c r="G30" s="83">
        <f>IF($A30="","",'Livre de paie'!P30)</f>
        <v/>
      </c>
      <c r="H30" s="83">
        <f>IF($A30="","",'Livre de paie'!Q30)</f>
        <v/>
      </c>
      <c r="I30" s="83">
        <f>IF($A30="","",'Livre de paie'!R30)</f>
        <v/>
      </c>
      <c r="J30" s="83">
        <f>IF($A30="","",'Livre de paie'!S30)</f>
        <v/>
      </c>
      <c r="K30" s="83">
        <f>IF($A30="","",D30+E30+F30+I30+J30)</f>
        <v/>
      </c>
      <c r="L30" s="83">
        <f>IF($A30="","",G30+H30)</f>
        <v/>
      </c>
      <c r="M30" s="83">
        <f>IF($A30="","",K30+L30)</f>
        <v/>
      </c>
    </row>
    <row r="31" ht="15" customHeight="1" s="71">
      <c r="A31" s="82">
        <f>IF('Livre de paie'!A31="","",'Livre de paie'!A31)</f>
        <v/>
      </c>
      <c r="B31" s="82">
        <f>IF($A31="","",'Livre de paie'!B31)</f>
        <v/>
      </c>
      <c r="C31" s="83">
        <f>IF($A31="","",'Livre de paie'!I31)</f>
        <v/>
      </c>
      <c r="D31" s="83">
        <f>IF($A31="","",ROUND('Livre de paie'!U31/(1+TX_CAC),0))</f>
        <v/>
      </c>
      <c r="E31" s="83">
        <f>IF($A31="","",'Livre de paie'!U31-D31)</f>
        <v/>
      </c>
      <c r="F31" s="83">
        <f>IF($A31="","",'Livre de paie'!O31)</f>
        <v/>
      </c>
      <c r="G31" s="83">
        <f>IF($A31="","",'Livre de paie'!P31)</f>
        <v/>
      </c>
      <c r="H31" s="83">
        <f>IF($A31="","",'Livre de paie'!Q31)</f>
        <v/>
      </c>
      <c r="I31" s="83">
        <f>IF($A31="","",'Livre de paie'!R31)</f>
        <v/>
      </c>
      <c r="J31" s="83">
        <f>IF($A31="","",'Livre de paie'!S31)</f>
        <v/>
      </c>
      <c r="K31" s="83">
        <f>IF($A31="","",D31+E31+F31+I31+J31)</f>
        <v/>
      </c>
      <c r="L31" s="83">
        <f>IF($A31="","",G31+H31)</f>
        <v/>
      </c>
      <c r="M31" s="83">
        <f>IF($A31="","",K31+L31)</f>
        <v/>
      </c>
    </row>
    <row r="32" ht="15" customHeight="1" s="71">
      <c r="A32" s="82">
        <f>IF('Livre de paie'!A32="","",'Livre de paie'!A32)</f>
        <v/>
      </c>
      <c r="B32" s="82">
        <f>IF($A32="","",'Livre de paie'!B32)</f>
        <v/>
      </c>
      <c r="C32" s="83">
        <f>IF($A32="","",'Livre de paie'!I32)</f>
        <v/>
      </c>
      <c r="D32" s="83">
        <f>IF($A32="","",ROUND('Livre de paie'!U32/(1+TX_CAC),0))</f>
        <v/>
      </c>
      <c r="E32" s="83">
        <f>IF($A32="","",'Livre de paie'!U32-D32)</f>
        <v/>
      </c>
      <c r="F32" s="83">
        <f>IF($A32="","",'Livre de paie'!O32)</f>
        <v/>
      </c>
      <c r="G32" s="83">
        <f>IF($A32="","",'Livre de paie'!P32)</f>
        <v/>
      </c>
      <c r="H32" s="83">
        <f>IF($A32="","",'Livre de paie'!Q32)</f>
        <v/>
      </c>
      <c r="I32" s="83">
        <f>IF($A32="","",'Livre de paie'!R32)</f>
        <v/>
      </c>
      <c r="J32" s="83">
        <f>IF($A32="","",'Livre de paie'!S32)</f>
        <v/>
      </c>
      <c r="K32" s="83">
        <f>IF($A32="","",D32+E32+F32+I32+J32)</f>
        <v/>
      </c>
      <c r="L32" s="83">
        <f>IF($A32="","",G32+H32)</f>
        <v/>
      </c>
      <c r="M32" s="83">
        <f>IF($A32="","",K32+L32)</f>
        <v/>
      </c>
    </row>
    <row r="33" ht="15" customHeight="1" s="71">
      <c r="A33" s="82">
        <f>IF('Livre de paie'!A33="","",'Livre de paie'!A33)</f>
        <v/>
      </c>
      <c r="B33" s="82">
        <f>IF($A33="","",'Livre de paie'!B33)</f>
        <v/>
      </c>
      <c r="C33" s="83">
        <f>IF($A33="","",'Livre de paie'!I33)</f>
        <v/>
      </c>
      <c r="D33" s="83">
        <f>IF($A33="","",ROUND('Livre de paie'!U33/(1+TX_CAC),0))</f>
        <v/>
      </c>
      <c r="E33" s="83">
        <f>IF($A33="","",'Livre de paie'!U33-D33)</f>
        <v/>
      </c>
      <c r="F33" s="83">
        <f>IF($A33="","",'Livre de paie'!O33)</f>
        <v/>
      </c>
      <c r="G33" s="83">
        <f>IF($A33="","",'Livre de paie'!P33)</f>
        <v/>
      </c>
      <c r="H33" s="83">
        <f>IF($A33="","",'Livre de paie'!Q33)</f>
        <v/>
      </c>
      <c r="I33" s="83">
        <f>IF($A33="","",'Livre de paie'!R33)</f>
        <v/>
      </c>
      <c r="J33" s="83">
        <f>IF($A33="","",'Livre de paie'!S33)</f>
        <v/>
      </c>
      <c r="K33" s="83">
        <f>IF($A33="","",D33+E33+F33+I33+J33)</f>
        <v/>
      </c>
      <c r="L33" s="83">
        <f>IF($A33="","",G33+H33)</f>
        <v/>
      </c>
      <c r="M33" s="83">
        <f>IF($A33="","",K33+L33)</f>
        <v/>
      </c>
    </row>
    <row r="34" ht="15" customHeight="1" s="71">
      <c r="A34" s="82">
        <f>IF('Livre de paie'!A34="","",'Livre de paie'!A34)</f>
        <v/>
      </c>
      <c r="B34" s="82">
        <f>IF($A34="","",'Livre de paie'!B34)</f>
        <v/>
      </c>
      <c r="C34" s="83">
        <f>IF($A34="","",'Livre de paie'!I34)</f>
        <v/>
      </c>
      <c r="D34" s="83">
        <f>IF($A34="","",ROUND('Livre de paie'!U34/(1+TX_CAC),0))</f>
        <v/>
      </c>
      <c r="E34" s="83">
        <f>IF($A34="","",'Livre de paie'!U34-D34)</f>
        <v/>
      </c>
      <c r="F34" s="83">
        <f>IF($A34="","",'Livre de paie'!O34)</f>
        <v/>
      </c>
      <c r="G34" s="83">
        <f>IF($A34="","",'Livre de paie'!P34)</f>
        <v/>
      </c>
      <c r="H34" s="83">
        <f>IF($A34="","",'Livre de paie'!Q34)</f>
        <v/>
      </c>
      <c r="I34" s="83">
        <f>IF($A34="","",'Livre de paie'!R34)</f>
        <v/>
      </c>
      <c r="J34" s="83">
        <f>IF($A34="","",'Livre de paie'!S34)</f>
        <v/>
      </c>
      <c r="K34" s="83">
        <f>IF($A34="","",D34+E34+F34+I34+J34)</f>
        <v/>
      </c>
      <c r="L34" s="83">
        <f>IF($A34="","",G34+H34)</f>
        <v/>
      </c>
      <c r="M34" s="83">
        <f>IF($A34="","",K34+L34)</f>
        <v/>
      </c>
    </row>
    <row r="35" ht="15" customHeight="1" s="71">
      <c r="A35" s="82">
        <f>IF('Livre de paie'!A35="","",'Livre de paie'!A35)</f>
        <v/>
      </c>
      <c r="B35" s="82">
        <f>IF($A35="","",'Livre de paie'!B35)</f>
        <v/>
      </c>
      <c r="C35" s="83">
        <f>IF($A35="","",'Livre de paie'!I35)</f>
        <v/>
      </c>
      <c r="D35" s="83">
        <f>IF($A35="","",ROUND('Livre de paie'!U35/(1+TX_CAC),0))</f>
        <v/>
      </c>
      <c r="E35" s="83">
        <f>IF($A35="","",'Livre de paie'!U35-D35)</f>
        <v/>
      </c>
      <c r="F35" s="83">
        <f>IF($A35="","",'Livre de paie'!O35)</f>
        <v/>
      </c>
      <c r="G35" s="83">
        <f>IF($A35="","",'Livre de paie'!P35)</f>
        <v/>
      </c>
      <c r="H35" s="83">
        <f>IF($A35="","",'Livre de paie'!Q35)</f>
        <v/>
      </c>
      <c r="I35" s="83">
        <f>IF($A35="","",'Livre de paie'!R35)</f>
        <v/>
      </c>
      <c r="J35" s="83">
        <f>IF($A35="","",'Livre de paie'!S35)</f>
        <v/>
      </c>
      <c r="K35" s="83">
        <f>IF($A35="","",D35+E35+F35+I35+J35)</f>
        <v/>
      </c>
      <c r="L35" s="83">
        <f>IF($A35="","",G35+H35)</f>
        <v/>
      </c>
      <c r="M35" s="83">
        <f>IF($A35="","",K35+L35)</f>
        <v/>
      </c>
    </row>
    <row r="36" ht="15" customHeight="1" s="71">
      <c r="A36" s="82">
        <f>IF('Livre de paie'!A36="","",'Livre de paie'!A36)</f>
        <v/>
      </c>
      <c r="B36" s="82">
        <f>IF($A36="","",'Livre de paie'!B36)</f>
        <v/>
      </c>
      <c r="C36" s="83">
        <f>IF($A36="","",'Livre de paie'!I36)</f>
        <v/>
      </c>
      <c r="D36" s="83">
        <f>IF($A36="","",ROUND('Livre de paie'!U36/(1+TX_CAC),0))</f>
        <v/>
      </c>
      <c r="E36" s="83">
        <f>IF($A36="","",'Livre de paie'!U36-D36)</f>
        <v/>
      </c>
      <c r="F36" s="83">
        <f>IF($A36="","",'Livre de paie'!O36)</f>
        <v/>
      </c>
      <c r="G36" s="83">
        <f>IF($A36="","",'Livre de paie'!P36)</f>
        <v/>
      </c>
      <c r="H36" s="83">
        <f>IF($A36="","",'Livre de paie'!Q36)</f>
        <v/>
      </c>
      <c r="I36" s="83">
        <f>IF($A36="","",'Livre de paie'!R36)</f>
        <v/>
      </c>
      <c r="J36" s="83">
        <f>IF($A36="","",'Livre de paie'!S36)</f>
        <v/>
      </c>
      <c r="K36" s="83">
        <f>IF($A36="","",D36+E36+F36+I36+J36)</f>
        <v/>
      </c>
      <c r="L36" s="83">
        <f>IF($A36="","",G36+H36)</f>
        <v/>
      </c>
      <c r="M36" s="83">
        <f>IF($A36="","",K36+L36)</f>
        <v/>
      </c>
    </row>
    <row r="37" ht="15" customHeight="1" s="71">
      <c r="A37" s="82">
        <f>IF('Livre de paie'!A37="","",'Livre de paie'!A37)</f>
        <v/>
      </c>
      <c r="B37" s="82">
        <f>IF($A37="","",'Livre de paie'!B37)</f>
        <v/>
      </c>
      <c r="C37" s="83">
        <f>IF($A37="","",'Livre de paie'!I37)</f>
        <v/>
      </c>
      <c r="D37" s="83">
        <f>IF($A37="","",ROUND('Livre de paie'!U37/(1+TX_CAC),0))</f>
        <v/>
      </c>
      <c r="E37" s="83">
        <f>IF($A37="","",'Livre de paie'!U37-D37)</f>
        <v/>
      </c>
      <c r="F37" s="83">
        <f>IF($A37="","",'Livre de paie'!O37)</f>
        <v/>
      </c>
      <c r="G37" s="83">
        <f>IF($A37="","",'Livre de paie'!P37)</f>
        <v/>
      </c>
      <c r="H37" s="83">
        <f>IF($A37="","",'Livre de paie'!Q37)</f>
        <v/>
      </c>
      <c r="I37" s="83">
        <f>IF($A37="","",'Livre de paie'!R37)</f>
        <v/>
      </c>
      <c r="J37" s="83">
        <f>IF($A37="","",'Livre de paie'!S37)</f>
        <v/>
      </c>
      <c r="K37" s="83">
        <f>IF($A37="","",D37+E37+F37+I37+J37)</f>
        <v/>
      </c>
      <c r="L37" s="83">
        <f>IF($A37="","",G37+H37)</f>
        <v/>
      </c>
      <c r="M37" s="83">
        <f>IF($A37="","",K37+L37)</f>
        <v/>
      </c>
    </row>
    <row r="38" ht="15" customHeight="1" s="71">
      <c r="A38" s="82">
        <f>IF('Livre de paie'!A38="","",'Livre de paie'!A38)</f>
        <v/>
      </c>
      <c r="B38" s="82">
        <f>IF($A38="","",'Livre de paie'!B38)</f>
        <v/>
      </c>
      <c r="C38" s="83">
        <f>IF($A38="","",'Livre de paie'!I38)</f>
        <v/>
      </c>
      <c r="D38" s="83">
        <f>IF($A38="","",ROUND('Livre de paie'!U38/(1+TX_CAC),0))</f>
        <v/>
      </c>
      <c r="E38" s="83">
        <f>IF($A38="","",'Livre de paie'!U38-D38)</f>
        <v/>
      </c>
      <c r="F38" s="83">
        <f>IF($A38="","",'Livre de paie'!O38)</f>
        <v/>
      </c>
      <c r="G38" s="83">
        <f>IF($A38="","",'Livre de paie'!P38)</f>
        <v/>
      </c>
      <c r="H38" s="83">
        <f>IF($A38="","",'Livre de paie'!Q38)</f>
        <v/>
      </c>
      <c r="I38" s="83">
        <f>IF($A38="","",'Livre de paie'!R38)</f>
        <v/>
      </c>
      <c r="J38" s="83">
        <f>IF($A38="","",'Livre de paie'!S38)</f>
        <v/>
      </c>
      <c r="K38" s="83">
        <f>IF($A38="","",D38+E38+F38+I38+J38)</f>
        <v/>
      </c>
      <c r="L38" s="83">
        <f>IF($A38="","",G38+H38)</f>
        <v/>
      </c>
      <c r="M38" s="83">
        <f>IF($A38="","",K38+L38)</f>
        <v/>
      </c>
    </row>
    <row r="39" ht="15" customHeight="1" s="71">
      <c r="A39" s="82">
        <f>IF('Livre de paie'!A39="","",'Livre de paie'!A39)</f>
        <v/>
      </c>
      <c r="B39" s="82">
        <f>IF($A39="","",'Livre de paie'!B39)</f>
        <v/>
      </c>
      <c r="C39" s="83">
        <f>IF($A39="","",'Livre de paie'!I39)</f>
        <v/>
      </c>
      <c r="D39" s="83">
        <f>IF($A39="","",ROUND('Livre de paie'!U39/(1+TX_CAC),0))</f>
        <v/>
      </c>
      <c r="E39" s="83">
        <f>IF($A39="","",'Livre de paie'!U39-D39)</f>
        <v/>
      </c>
      <c r="F39" s="83">
        <f>IF($A39="","",'Livre de paie'!O39)</f>
        <v/>
      </c>
      <c r="G39" s="83">
        <f>IF($A39="","",'Livre de paie'!P39)</f>
        <v/>
      </c>
      <c r="H39" s="83">
        <f>IF($A39="","",'Livre de paie'!Q39)</f>
        <v/>
      </c>
      <c r="I39" s="83">
        <f>IF($A39="","",'Livre de paie'!R39)</f>
        <v/>
      </c>
      <c r="J39" s="83">
        <f>IF($A39="","",'Livre de paie'!S39)</f>
        <v/>
      </c>
      <c r="K39" s="83">
        <f>IF($A39="","",D39+E39+F39+I39+J39)</f>
        <v/>
      </c>
      <c r="L39" s="83">
        <f>IF($A39="","",G39+H39)</f>
        <v/>
      </c>
      <c r="M39" s="83">
        <f>IF($A39="","",K39+L39)</f>
        <v/>
      </c>
    </row>
    <row r="40" ht="15" customHeight="1" s="71">
      <c r="A40" s="82">
        <f>IF('Livre de paie'!A40="","",'Livre de paie'!A40)</f>
        <v/>
      </c>
      <c r="B40" s="82">
        <f>IF($A40="","",'Livre de paie'!B40)</f>
        <v/>
      </c>
      <c r="C40" s="83">
        <f>IF($A40="","",'Livre de paie'!I40)</f>
        <v/>
      </c>
      <c r="D40" s="83">
        <f>IF($A40="","",ROUND('Livre de paie'!U40/(1+TX_CAC),0))</f>
        <v/>
      </c>
      <c r="E40" s="83">
        <f>IF($A40="","",'Livre de paie'!U40-D40)</f>
        <v/>
      </c>
      <c r="F40" s="83">
        <f>IF($A40="","",'Livre de paie'!O40)</f>
        <v/>
      </c>
      <c r="G40" s="83">
        <f>IF($A40="","",'Livre de paie'!P40)</f>
        <v/>
      </c>
      <c r="H40" s="83">
        <f>IF($A40="","",'Livre de paie'!Q40)</f>
        <v/>
      </c>
      <c r="I40" s="83">
        <f>IF($A40="","",'Livre de paie'!R40)</f>
        <v/>
      </c>
      <c r="J40" s="83">
        <f>IF($A40="","",'Livre de paie'!S40)</f>
        <v/>
      </c>
      <c r="K40" s="83">
        <f>IF($A40="","",D40+E40+F40+I40+J40)</f>
        <v/>
      </c>
      <c r="L40" s="83">
        <f>IF($A40="","",G40+H40)</f>
        <v/>
      </c>
      <c r="M40" s="83">
        <f>IF($A40="","",K40+L40)</f>
        <v/>
      </c>
    </row>
    <row r="41" ht="15" customHeight="1" s="71">
      <c r="A41" s="82">
        <f>IF('Livre de paie'!A41="","",'Livre de paie'!A41)</f>
        <v/>
      </c>
      <c r="B41" s="82">
        <f>IF($A41="","",'Livre de paie'!B41)</f>
        <v/>
      </c>
      <c r="C41" s="83">
        <f>IF($A41="","",'Livre de paie'!I41)</f>
        <v/>
      </c>
      <c r="D41" s="83">
        <f>IF($A41="","",ROUND('Livre de paie'!U41/(1+TX_CAC),0))</f>
        <v/>
      </c>
      <c r="E41" s="83">
        <f>IF($A41="","",'Livre de paie'!U41-D41)</f>
        <v/>
      </c>
      <c r="F41" s="83">
        <f>IF($A41="","",'Livre de paie'!O41)</f>
        <v/>
      </c>
      <c r="G41" s="83">
        <f>IF($A41="","",'Livre de paie'!P41)</f>
        <v/>
      </c>
      <c r="H41" s="83">
        <f>IF($A41="","",'Livre de paie'!Q41)</f>
        <v/>
      </c>
      <c r="I41" s="83">
        <f>IF($A41="","",'Livre de paie'!R41)</f>
        <v/>
      </c>
      <c r="J41" s="83">
        <f>IF($A41="","",'Livre de paie'!S41)</f>
        <v/>
      </c>
      <c r="K41" s="83">
        <f>IF($A41="","",D41+E41+F41+I41+J41)</f>
        <v/>
      </c>
      <c r="L41" s="83">
        <f>IF($A41="","",G41+H41)</f>
        <v/>
      </c>
      <c r="M41" s="83">
        <f>IF($A41="","",K41+L41)</f>
        <v/>
      </c>
    </row>
    <row r="42" ht="15" customHeight="1" s="71">
      <c r="A42" s="82">
        <f>IF('Livre de paie'!A42="","",'Livre de paie'!A42)</f>
        <v/>
      </c>
      <c r="B42" s="82">
        <f>IF($A42="","",'Livre de paie'!B42)</f>
        <v/>
      </c>
      <c r="C42" s="83">
        <f>IF($A42="","",'Livre de paie'!I42)</f>
        <v/>
      </c>
      <c r="D42" s="83">
        <f>IF($A42="","",ROUND('Livre de paie'!U42/(1+TX_CAC),0))</f>
        <v/>
      </c>
      <c r="E42" s="83">
        <f>IF($A42="","",'Livre de paie'!U42-D42)</f>
        <v/>
      </c>
      <c r="F42" s="83">
        <f>IF($A42="","",'Livre de paie'!O42)</f>
        <v/>
      </c>
      <c r="G42" s="83">
        <f>IF($A42="","",'Livre de paie'!P42)</f>
        <v/>
      </c>
      <c r="H42" s="83">
        <f>IF($A42="","",'Livre de paie'!Q42)</f>
        <v/>
      </c>
      <c r="I42" s="83">
        <f>IF($A42="","",'Livre de paie'!R42)</f>
        <v/>
      </c>
      <c r="J42" s="83">
        <f>IF($A42="","",'Livre de paie'!S42)</f>
        <v/>
      </c>
      <c r="K42" s="83">
        <f>IF($A42="","",D42+E42+F42+I42+J42)</f>
        <v/>
      </c>
      <c r="L42" s="83">
        <f>IF($A42="","",G42+H42)</f>
        <v/>
      </c>
      <c r="M42" s="83">
        <f>IF($A42="","",K42+L42)</f>
        <v/>
      </c>
    </row>
    <row r="43" ht="15" customHeight="1" s="71">
      <c r="A43" s="82">
        <f>IF('Livre de paie'!A43="","",'Livre de paie'!A43)</f>
        <v/>
      </c>
      <c r="B43" s="82">
        <f>IF($A43="","",'Livre de paie'!B43)</f>
        <v/>
      </c>
      <c r="C43" s="83">
        <f>IF($A43="","",'Livre de paie'!I43)</f>
        <v/>
      </c>
      <c r="D43" s="83">
        <f>IF($A43="","",ROUND('Livre de paie'!U43/(1+TX_CAC),0))</f>
        <v/>
      </c>
      <c r="E43" s="83">
        <f>IF($A43="","",'Livre de paie'!U43-D43)</f>
        <v/>
      </c>
      <c r="F43" s="83">
        <f>IF($A43="","",'Livre de paie'!O43)</f>
        <v/>
      </c>
      <c r="G43" s="83">
        <f>IF($A43="","",'Livre de paie'!P43)</f>
        <v/>
      </c>
      <c r="H43" s="83">
        <f>IF($A43="","",'Livre de paie'!Q43)</f>
        <v/>
      </c>
      <c r="I43" s="83">
        <f>IF($A43="","",'Livre de paie'!R43)</f>
        <v/>
      </c>
      <c r="J43" s="83">
        <f>IF($A43="","",'Livre de paie'!S43)</f>
        <v/>
      </c>
      <c r="K43" s="83">
        <f>IF($A43="","",D43+E43+F43+I43+J43)</f>
        <v/>
      </c>
      <c r="L43" s="83">
        <f>IF($A43="","",G43+H43)</f>
        <v/>
      </c>
      <c r="M43" s="83">
        <f>IF($A43="","",K43+L43)</f>
        <v/>
      </c>
    </row>
    <row r="44" ht="15" customHeight="1" s="71">
      <c r="A44" s="82">
        <f>IF('Livre de paie'!A44="","",'Livre de paie'!A44)</f>
        <v/>
      </c>
      <c r="B44" s="82">
        <f>IF($A44="","",'Livre de paie'!B44)</f>
        <v/>
      </c>
      <c r="C44" s="83">
        <f>IF($A44="","",'Livre de paie'!I44)</f>
        <v/>
      </c>
      <c r="D44" s="83">
        <f>IF($A44="","",ROUND('Livre de paie'!U44/(1+TX_CAC),0))</f>
        <v/>
      </c>
      <c r="E44" s="83">
        <f>IF($A44="","",'Livre de paie'!U44-D44)</f>
        <v/>
      </c>
      <c r="F44" s="83">
        <f>IF($A44="","",'Livre de paie'!O44)</f>
        <v/>
      </c>
      <c r="G44" s="83">
        <f>IF($A44="","",'Livre de paie'!P44)</f>
        <v/>
      </c>
      <c r="H44" s="83">
        <f>IF($A44="","",'Livre de paie'!Q44)</f>
        <v/>
      </c>
      <c r="I44" s="83">
        <f>IF($A44="","",'Livre de paie'!R44)</f>
        <v/>
      </c>
      <c r="J44" s="83">
        <f>IF($A44="","",'Livre de paie'!S44)</f>
        <v/>
      </c>
      <c r="K44" s="83">
        <f>IF($A44="","",D44+E44+F44+I44+J44)</f>
        <v/>
      </c>
      <c r="L44" s="83">
        <f>IF($A44="","",G44+H44)</f>
        <v/>
      </c>
      <c r="M44" s="83">
        <f>IF($A44="","",K44+L44)</f>
        <v/>
      </c>
    </row>
    <row r="45" ht="15" customHeight="1" s="71">
      <c r="A45" s="82">
        <f>IF('Livre de paie'!A45="","",'Livre de paie'!A45)</f>
        <v/>
      </c>
      <c r="B45" s="82">
        <f>IF($A45="","",'Livre de paie'!B45)</f>
        <v/>
      </c>
      <c r="C45" s="83">
        <f>IF($A45="","",'Livre de paie'!I45)</f>
        <v/>
      </c>
      <c r="D45" s="83">
        <f>IF($A45="","",ROUND('Livre de paie'!U45/(1+TX_CAC),0))</f>
        <v/>
      </c>
      <c r="E45" s="83">
        <f>IF($A45="","",'Livre de paie'!U45-D45)</f>
        <v/>
      </c>
      <c r="F45" s="83">
        <f>IF($A45="","",'Livre de paie'!O45)</f>
        <v/>
      </c>
      <c r="G45" s="83">
        <f>IF($A45="","",'Livre de paie'!P45)</f>
        <v/>
      </c>
      <c r="H45" s="83">
        <f>IF($A45="","",'Livre de paie'!Q45)</f>
        <v/>
      </c>
      <c r="I45" s="83">
        <f>IF($A45="","",'Livre de paie'!R45)</f>
        <v/>
      </c>
      <c r="J45" s="83">
        <f>IF($A45="","",'Livre de paie'!S45)</f>
        <v/>
      </c>
      <c r="K45" s="83">
        <f>IF($A45="","",D45+E45+F45+I45+J45)</f>
        <v/>
      </c>
      <c r="L45" s="83">
        <f>IF($A45="","",G45+H45)</f>
        <v/>
      </c>
      <c r="M45" s="83">
        <f>IF($A45="","",K45+L45)</f>
        <v/>
      </c>
    </row>
    <row r="46" ht="15" customHeight="1" s="71">
      <c r="A46" s="82">
        <f>IF('Livre de paie'!A46="","",'Livre de paie'!A46)</f>
        <v/>
      </c>
      <c r="B46" s="82">
        <f>IF($A46="","",'Livre de paie'!B46)</f>
        <v/>
      </c>
      <c r="C46" s="83">
        <f>IF($A46="","",'Livre de paie'!I46)</f>
        <v/>
      </c>
      <c r="D46" s="83">
        <f>IF($A46="","",ROUND('Livre de paie'!U46/(1+TX_CAC),0))</f>
        <v/>
      </c>
      <c r="E46" s="83">
        <f>IF($A46="","",'Livre de paie'!U46-D46)</f>
        <v/>
      </c>
      <c r="F46" s="83">
        <f>IF($A46="","",'Livre de paie'!O46)</f>
        <v/>
      </c>
      <c r="G46" s="83">
        <f>IF($A46="","",'Livre de paie'!P46)</f>
        <v/>
      </c>
      <c r="H46" s="83">
        <f>IF($A46="","",'Livre de paie'!Q46)</f>
        <v/>
      </c>
      <c r="I46" s="83">
        <f>IF($A46="","",'Livre de paie'!R46)</f>
        <v/>
      </c>
      <c r="J46" s="83">
        <f>IF($A46="","",'Livre de paie'!S46)</f>
        <v/>
      </c>
      <c r="K46" s="83">
        <f>IF($A46="","",D46+E46+F46+I46+J46)</f>
        <v/>
      </c>
      <c r="L46" s="83">
        <f>IF($A46="","",G46+H46)</f>
        <v/>
      </c>
      <c r="M46" s="83">
        <f>IF($A46="","",K46+L46)</f>
        <v/>
      </c>
    </row>
    <row r="47" ht="15" customHeight="1" s="71">
      <c r="A47" s="82">
        <f>IF('Livre de paie'!A47="","",'Livre de paie'!A47)</f>
        <v/>
      </c>
      <c r="B47" s="82">
        <f>IF($A47="","",'Livre de paie'!B47)</f>
        <v/>
      </c>
      <c r="C47" s="83">
        <f>IF($A47="","",'Livre de paie'!I47)</f>
        <v/>
      </c>
      <c r="D47" s="83">
        <f>IF($A47="","",ROUND('Livre de paie'!U47/(1+TX_CAC),0))</f>
        <v/>
      </c>
      <c r="E47" s="83">
        <f>IF($A47="","",'Livre de paie'!U47-D47)</f>
        <v/>
      </c>
      <c r="F47" s="83">
        <f>IF($A47="","",'Livre de paie'!O47)</f>
        <v/>
      </c>
      <c r="G47" s="83">
        <f>IF($A47="","",'Livre de paie'!P47)</f>
        <v/>
      </c>
      <c r="H47" s="83">
        <f>IF($A47="","",'Livre de paie'!Q47)</f>
        <v/>
      </c>
      <c r="I47" s="83">
        <f>IF($A47="","",'Livre de paie'!R47)</f>
        <v/>
      </c>
      <c r="J47" s="83">
        <f>IF($A47="","",'Livre de paie'!S47)</f>
        <v/>
      </c>
      <c r="K47" s="83">
        <f>IF($A47="","",D47+E47+F47+I47+J47)</f>
        <v/>
      </c>
      <c r="L47" s="83">
        <f>IF($A47="","",G47+H47)</f>
        <v/>
      </c>
      <c r="M47" s="83">
        <f>IF($A47="","",K47+L47)</f>
        <v/>
      </c>
    </row>
    <row r="48" ht="15" customHeight="1" s="71">
      <c r="A48" s="82">
        <f>IF('Livre de paie'!A48="","",'Livre de paie'!A48)</f>
        <v/>
      </c>
      <c r="B48" s="82">
        <f>IF($A48="","",'Livre de paie'!B48)</f>
        <v/>
      </c>
      <c r="C48" s="83">
        <f>IF($A48="","",'Livre de paie'!I48)</f>
        <v/>
      </c>
      <c r="D48" s="83">
        <f>IF($A48="","",ROUND('Livre de paie'!U48/(1+TX_CAC),0))</f>
        <v/>
      </c>
      <c r="E48" s="83">
        <f>IF($A48="","",'Livre de paie'!U48-D48)</f>
        <v/>
      </c>
      <c r="F48" s="83">
        <f>IF($A48="","",'Livre de paie'!O48)</f>
        <v/>
      </c>
      <c r="G48" s="83">
        <f>IF($A48="","",'Livre de paie'!P48)</f>
        <v/>
      </c>
      <c r="H48" s="83">
        <f>IF($A48="","",'Livre de paie'!Q48)</f>
        <v/>
      </c>
      <c r="I48" s="83">
        <f>IF($A48="","",'Livre de paie'!R48)</f>
        <v/>
      </c>
      <c r="J48" s="83">
        <f>IF($A48="","",'Livre de paie'!S48)</f>
        <v/>
      </c>
      <c r="K48" s="83">
        <f>IF($A48="","",D48+E48+F48+I48+J48)</f>
        <v/>
      </c>
      <c r="L48" s="83">
        <f>IF($A48="","",G48+H48)</f>
        <v/>
      </c>
      <c r="M48" s="83">
        <f>IF($A48="","",K48+L48)</f>
        <v/>
      </c>
    </row>
    <row r="49" ht="15" customHeight="1" s="71">
      <c r="A49" s="82">
        <f>IF('Livre de paie'!A49="","",'Livre de paie'!A49)</f>
        <v/>
      </c>
      <c r="B49" s="82">
        <f>IF($A49="","",'Livre de paie'!B49)</f>
        <v/>
      </c>
      <c r="C49" s="83">
        <f>IF($A49="","",'Livre de paie'!I49)</f>
        <v/>
      </c>
      <c r="D49" s="83">
        <f>IF($A49="","",ROUND('Livre de paie'!U49/(1+TX_CAC),0))</f>
        <v/>
      </c>
      <c r="E49" s="83">
        <f>IF($A49="","",'Livre de paie'!U49-D49)</f>
        <v/>
      </c>
      <c r="F49" s="83">
        <f>IF($A49="","",'Livre de paie'!O49)</f>
        <v/>
      </c>
      <c r="G49" s="83">
        <f>IF($A49="","",'Livre de paie'!P49)</f>
        <v/>
      </c>
      <c r="H49" s="83">
        <f>IF($A49="","",'Livre de paie'!Q49)</f>
        <v/>
      </c>
      <c r="I49" s="83">
        <f>IF($A49="","",'Livre de paie'!R49)</f>
        <v/>
      </c>
      <c r="J49" s="83">
        <f>IF($A49="","",'Livre de paie'!S49)</f>
        <v/>
      </c>
      <c r="K49" s="83">
        <f>IF($A49="","",D49+E49+F49+I49+J49)</f>
        <v/>
      </c>
      <c r="L49" s="83">
        <f>IF($A49="","",G49+H49)</f>
        <v/>
      </c>
      <c r="M49" s="83">
        <f>IF($A49="","",K49+L49)</f>
        <v/>
      </c>
    </row>
    <row r="50" ht="15" customHeight="1" s="71">
      <c r="A50" s="82">
        <f>IF('Livre de paie'!A50="","",'Livre de paie'!A50)</f>
        <v/>
      </c>
      <c r="B50" s="82">
        <f>IF($A50="","",'Livre de paie'!B50)</f>
        <v/>
      </c>
      <c r="C50" s="83">
        <f>IF($A50="","",'Livre de paie'!I50)</f>
        <v/>
      </c>
      <c r="D50" s="83">
        <f>IF($A50="","",ROUND('Livre de paie'!U50/(1+TX_CAC),0))</f>
        <v/>
      </c>
      <c r="E50" s="83">
        <f>IF($A50="","",'Livre de paie'!U50-D50)</f>
        <v/>
      </c>
      <c r="F50" s="83">
        <f>IF($A50="","",'Livre de paie'!O50)</f>
        <v/>
      </c>
      <c r="G50" s="83">
        <f>IF($A50="","",'Livre de paie'!P50)</f>
        <v/>
      </c>
      <c r="H50" s="83">
        <f>IF($A50="","",'Livre de paie'!Q50)</f>
        <v/>
      </c>
      <c r="I50" s="83">
        <f>IF($A50="","",'Livre de paie'!R50)</f>
        <v/>
      </c>
      <c r="J50" s="83">
        <f>IF($A50="","",'Livre de paie'!S50)</f>
        <v/>
      </c>
      <c r="K50" s="83">
        <f>IF($A50="","",D50+E50+F50+I50+J50)</f>
        <v/>
      </c>
      <c r="L50" s="83">
        <f>IF($A50="","",G50+H50)</f>
        <v/>
      </c>
      <c r="M50" s="83">
        <f>IF($A50="","",K50+L50)</f>
        <v/>
      </c>
    </row>
    <row r="51" ht="15" customHeight="1" s="71">
      <c r="A51" s="82">
        <f>IF('Livre de paie'!A51="","",'Livre de paie'!A51)</f>
        <v/>
      </c>
      <c r="B51" s="82">
        <f>IF($A51="","",'Livre de paie'!B51)</f>
        <v/>
      </c>
      <c r="C51" s="83">
        <f>IF($A51="","",'Livre de paie'!I51)</f>
        <v/>
      </c>
      <c r="D51" s="83">
        <f>IF($A51="","",ROUND('Livre de paie'!U51/(1+TX_CAC),0))</f>
        <v/>
      </c>
      <c r="E51" s="83">
        <f>IF($A51="","",'Livre de paie'!U51-D51)</f>
        <v/>
      </c>
      <c r="F51" s="83">
        <f>IF($A51="","",'Livre de paie'!O51)</f>
        <v/>
      </c>
      <c r="G51" s="83">
        <f>IF($A51="","",'Livre de paie'!P51)</f>
        <v/>
      </c>
      <c r="H51" s="83">
        <f>IF($A51="","",'Livre de paie'!Q51)</f>
        <v/>
      </c>
      <c r="I51" s="83">
        <f>IF($A51="","",'Livre de paie'!R51)</f>
        <v/>
      </c>
      <c r="J51" s="83">
        <f>IF($A51="","",'Livre de paie'!S51)</f>
        <v/>
      </c>
      <c r="K51" s="83">
        <f>IF($A51="","",D51+E51+F51+I51+J51)</f>
        <v/>
      </c>
      <c r="L51" s="83">
        <f>IF($A51="","",G51+H51)</f>
        <v/>
      </c>
      <c r="M51" s="83">
        <f>IF($A51="","",K51+L51)</f>
        <v/>
      </c>
    </row>
    <row r="52" ht="15" customHeight="1" s="71">
      <c r="A52" s="82">
        <f>IF('Livre de paie'!A52="","",'Livre de paie'!A52)</f>
        <v/>
      </c>
      <c r="B52" s="82">
        <f>IF($A52="","",'Livre de paie'!B52)</f>
        <v/>
      </c>
      <c r="C52" s="83">
        <f>IF($A52="","",'Livre de paie'!I52)</f>
        <v/>
      </c>
      <c r="D52" s="83">
        <f>IF($A52="","",ROUND('Livre de paie'!U52/(1+TX_CAC),0))</f>
        <v/>
      </c>
      <c r="E52" s="83">
        <f>IF($A52="","",'Livre de paie'!U52-D52)</f>
        <v/>
      </c>
      <c r="F52" s="83">
        <f>IF($A52="","",'Livre de paie'!O52)</f>
        <v/>
      </c>
      <c r="G52" s="83">
        <f>IF($A52="","",'Livre de paie'!P52)</f>
        <v/>
      </c>
      <c r="H52" s="83">
        <f>IF($A52="","",'Livre de paie'!Q52)</f>
        <v/>
      </c>
      <c r="I52" s="83">
        <f>IF($A52="","",'Livre de paie'!R52)</f>
        <v/>
      </c>
      <c r="J52" s="83">
        <f>IF($A52="","",'Livre de paie'!S52)</f>
        <v/>
      </c>
      <c r="K52" s="83">
        <f>IF($A52="","",D52+E52+F52+I52+J52)</f>
        <v/>
      </c>
      <c r="L52" s="83">
        <f>IF($A52="","",G52+H52)</f>
        <v/>
      </c>
      <c r="M52" s="83">
        <f>IF($A52="","",K52+L52)</f>
        <v/>
      </c>
    </row>
    <row r="53" ht="15" customHeight="1" s="71">
      <c r="A53" s="82">
        <f>IF('Livre de paie'!A53="","",'Livre de paie'!A53)</f>
        <v/>
      </c>
      <c r="B53" s="82">
        <f>IF($A53="","",'Livre de paie'!B53)</f>
        <v/>
      </c>
      <c r="C53" s="83">
        <f>IF($A53="","",'Livre de paie'!I53)</f>
        <v/>
      </c>
      <c r="D53" s="83">
        <f>IF($A53="","",ROUND('Livre de paie'!U53/(1+TX_CAC),0))</f>
        <v/>
      </c>
      <c r="E53" s="83">
        <f>IF($A53="","",'Livre de paie'!U53-D53)</f>
        <v/>
      </c>
      <c r="F53" s="83">
        <f>IF($A53="","",'Livre de paie'!O53)</f>
        <v/>
      </c>
      <c r="G53" s="83">
        <f>IF($A53="","",'Livre de paie'!P53)</f>
        <v/>
      </c>
      <c r="H53" s="83">
        <f>IF($A53="","",'Livre de paie'!Q53)</f>
        <v/>
      </c>
      <c r="I53" s="83">
        <f>IF($A53="","",'Livre de paie'!R53)</f>
        <v/>
      </c>
      <c r="J53" s="83">
        <f>IF($A53="","",'Livre de paie'!S53)</f>
        <v/>
      </c>
      <c r="K53" s="83">
        <f>IF($A53="","",D53+E53+F53+I53+J53)</f>
        <v/>
      </c>
      <c r="L53" s="83">
        <f>IF($A53="","",G53+H53)</f>
        <v/>
      </c>
      <c r="M53" s="83">
        <f>IF($A53="","",K53+L53)</f>
        <v/>
      </c>
    </row>
    <row r="54" ht="15" customHeight="1" s="71">
      <c r="A54" s="82">
        <f>IF('Livre de paie'!A54="","",'Livre de paie'!A54)</f>
        <v/>
      </c>
      <c r="B54" s="82">
        <f>IF($A54="","",'Livre de paie'!B54)</f>
        <v/>
      </c>
      <c r="C54" s="83">
        <f>IF($A54="","",'Livre de paie'!I54)</f>
        <v/>
      </c>
      <c r="D54" s="83">
        <f>IF($A54="","",ROUND('Livre de paie'!U54/(1+TX_CAC),0))</f>
        <v/>
      </c>
      <c r="E54" s="83">
        <f>IF($A54="","",'Livre de paie'!U54-D54)</f>
        <v/>
      </c>
      <c r="F54" s="83">
        <f>IF($A54="","",'Livre de paie'!O54)</f>
        <v/>
      </c>
      <c r="G54" s="83">
        <f>IF($A54="","",'Livre de paie'!P54)</f>
        <v/>
      </c>
      <c r="H54" s="83">
        <f>IF($A54="","",'Livre de paie'!Q54)</f>
        <v/>
      </c>
      <c r="I54" s="83">
        <f>IF($A54="","",'Livre de paie'!R54)</f>
        <v/>
      </c>
      <c r="J54" s="83">
        <f>IF($A54="","",'Livre de paie'!S54)</f>
        <v/>
      </c>
      <c r="K54" s="83">
        <f>IF($A54="","",D54+E54+F54+I54+J54)</f>
        <v/>
      </c>
      <c r="L54" s="83">
        <f>IF($A54="","",G54+H54)</f>
        <v/>
      </c>
      <c r="M54" s="83">
        <f>IF($A54="","",K54+L54)</f>
        <v/>
      </c>
    </row>
    <row r="55" ht="15" customHeight="1" s="71">
      <c r="A55" s="82">
        <f>IF('Livre de paie'!A55="","",'Livre de paie'!A55)</f>
        <v/>
      </c>
      <c r="B55" s="82">
        <f>IF($A55="","",'Livre de paie'!B55)</f>
        <v/>
      </c>
      <c r="C55" s="83">
        <f>IF($A55="","",'Livre de paie'!I55)</f>
        <v/>
      </c>
      <c r="D55" s="83">
        <f>IF($A55="","",ROUND('Livre de paie'!U55/(1+TX_CAC),0))</f>
        <v/>
      </c>
      <c r="E55" s="83">
        <f>IF($A55="","",'Livre de paie'!U55-D55)</f>
        <v/>
      </c>
      <c r="F55" s="83">
        <f>IF($A55="","",'Livre de paie'!O55)</f>
        <v/>
      </c>
      <c r="G55" s="83">
        <f>IF($A55="","",'Livre de paie'!P55)</f>
        <v/>
      </c>
      <c r="H55" s="83">
        <f>IF($A55="","",'Livre de paie'!Q55)</f>
        <v/>
      </c>
      <c r="I55" s="83">
        <f>IF($A55="","",'Livre de paie'!R55)</f>
        <v/>
      </c>
      <c r="J55" s="83">
        <f>IF($A55="","",'Livre de paie'!S55)</f>
        <v/>
      </c>
      <c r="K55" s="83">
        <f>IF($A55="","",D55+E55+F55+I55+J55)</f>
        <v/>
      </c>
      <c r="L55" s="83">
        <f>IF($A55="","",G55+H55)</f>
        <v/>
      </c>
      <c r="M55" s="83">
        <f>IF($A55="","",K55+L55)</f>
        <v/>
      </c>
    </row>
    <row r="56" ht="15" customHeight="1" s="71">
      <c r="A56" s="82">
        <f>IF('Livre de paie'!A56="","",'Livre de paie'!A56)</f>
        <v/>
      </c>
      <c r="B56" s="82">
        <f>IF($A56="","",'Livre de paie'!B56)</f>
        <v/>
      </c>
      <c r="C56" s="83">
        <f>IF($A56="","",'Livre de paie'!I56)</f>
        <v/>
      </c>
      <c r="D56" s="83">
        <f>IF($A56="","",ROUND('Livre de paie'!U56/(1+TX_CAC),0))</f>
        <v/>
      </c>
      <c r="E56" s="83">
        <f>IF($A56="","",'Livre de paie'!U56-D56)</f>
        <v/>
      </c>
      <c r="F56" s="83">
        <f>IF($A56="","",'Livre de paie'!O56)</f>
        <v/>
      </c>
      <c r="G56" s="83">
        <f>IF($A56="","",'Livre de paie'!P56)</f>
        <v/>
      </c>
      <c r="H56" s="83">
        <f>IF($A56="","",'Livre de paie'!Q56)</f>
        <v/>
      </c>
      <c r="I56" s="83">
        <f>IF($A56="","",'Livre de paie'!R56)</f>
        <v/>
      </c>
      <c r="J56" s="83">
        <f>IF($A56="","",'Livre de paie'!S56)</f>
        <v/>
      </c>
      <c r="K56" s="83">
        <f>IF($A56="","",D56+E56+F56+I56+J56)</f>
        <v/>
      </c>
      <c r="L56" s="83">
        <f>IF($A56="","",G56+H56)</f>
        <v/>
      </c>
      <c r="M56" s="83">
        <f>IF($A56="","",K56+L56)</f>
        <v/>
      </c>
    </row>
    <row r="57" ht="15" customHeight="1" s="71">
      <c r="A57" s="82">
        <f>IF('Livre de paie'!A57="","",'Livre de paie'!A57)</f>
        <v/>
      </c>
      <c r="B57" s="82">
        <f>IF($A57="","",'Livre de paie'!B57)</f>
        <v/>
      </c>
      <c r="C57" s="83">
        <f>IF($A57="","",'Livre de paie'!I57)</f>
        <v/>
      </c>
      <c r="D57" s="83">
        <f>IF($A57="","",ROUND('Livre de paie'!U57/(1+TX_CAC),0))</f>
        <v/>
      </c>
      <c r="E57" s="83">
        <f>IF($A57="","",'Livre de paie'!U57-D57)</f>
        <v/>
      </c>
      <c r="F57" s="83">
        <f>IF($A57="","",'Livre de paie'!O57)</f>
        <v/>
      </c>
      <c r="G57" s="83">
        <f>IF($A57="","",'Livre de paie'!P57)</f>
        <v/>
      </c>
      <c r="H57" s="83">
        <f>IF($A57="","",'Livre de paie'!Q57)</f>
        <v/>
      </c>
      <c r="I57" s="83">
        <f>IF($A57="","",'Livre de paie'!R57)</f>
        <v/>
      </c>
      <c r="J57" s="83">
        <f>IF($A57="","",'Livre de paie'!S57)</f>
        <v/>
      </c>
      <c r="K57" s="83">
        <f>IF($A57="","",D57+E57+F57+I57+J57)</f>
        <v/>
      </c>
      <c r="L57" s="83">
        <f>IF($A57="","",G57+H57)</f>
        <v/>
      </c>
      <c r="M57" s="83">
        <f>IF($A57="","",K57+L57)</f>
        <v/>
      </c>
    </row>
    <row r="58" ht="15" customHeight="1" s="71">
      <c r="A58" s="82">
        <f>IF('Livre de paie'!A58="","",'Livre de paie'!A58)</f>
        <v/>
      </c>
      <c r="B58" s="82">
        <f>IF($A58="","",'Livre de paie'!B58)</f>
        <v/>
      </c>
      <c r="C58" s="83">
        <f>IF($A58="","",'Livre de paie'!I58)</f>
        <v/>
      </c>
      <c r="D58" s="83">
        <f>IF($A58="","",ROUND('Livre de paie'!U58/(1+TX_CAC),0))</f>
        <v/>
      </c>
      <c r="E58" s="83">
        <f>IF($A58="","",'Livre de paie'!U58-D58)</f>
        <v/>
      </c>
      <c r="F58" s="83">
        <f>IF($A58="","",'Livre de paie'!O58)</f>
        <v/>
      </c>
      <c r="G58" s="83">
        <f>IF($A58="","",'Livre de paie'!P58)</f>
        <v/>
      </c>
      <c r="H58" s="83">
        <f>IF($A58="","",'Livre de paie'!Q58)</f>
        <v/>
      </c>
      <c r="I58" s="83">
        <f>IF($A58="","",'Livre de paie'!R58)</f>
        <v/>
      </c>
      <c r="J58" s="83">
        <f>IF($A58="","",'Livre de paie'!S58)</f>
        <v/>
      </c>
      <c r="K58" s="83">
        <f>IF($A58="","",D58+E58+F58+I58+J58)</f>
        <v/>
      </c>
      <c r="L58" s="83">
        <f>IF($A58="","",G58+H58)</f>
        <v/>
      </c>
      <c r="M58" s="83">
        <f>IF($A58="","",K58+L58)</f>
        <v/>
      </c>
    </row>
    <row r="59" ht="15" customHeight="1" s="71">
      <c r="A59" s="82">
        <f>IF('Livre de paie'!A59="","",'Livre de paie'!A59)</f>
        <v/>
      </c>
      <c r="B59" s="82">
        <f>IF($A59="","",'Livre de paie'!B59)</f>
        <v/>
      </c>
      <c r="C59" s="83">
        <f>IF($A59="","",'Livre de paie'!I59)</f>
        <v/>
      </c>
      <c r="D59" s="83">
        <f>IF($A59="","",ROUND('Livre de paie'!U59/(1+TX_CAC),0))</f>
        <v/>
      </c>
      <c r="E59" s="83">
        <f>IF($A59="","",'Livre de paie'!U59-D59)</f>
        <v/>
      </c>
      <c r="F59" s="83">
        <f>IF($A59="","",'Livre de paie'!O59)</f>
        <v/>
      </c>
      <c r="G59" s="83">
        <f>IF($A59="","",'Livre de paie'!P59)</f>
        <v/>
      </c>
      <c r="H59" s="83">
        <f>IF($A59="","",'Livre de paie'!Q59)</f>
        <v/>
      </c>
      <c r="I59" s="83">
        <f>IF($A59="","",'Livre de paie'!R59)</f>
        <v/>
      </c>
      <c r="J59" s="83">
        <f>IF($A59="","",'Livre de paie'!S59)</f>
        <v/>
      </c>
      <c r="K59" s="83">
        <f>IF($A59="","",D59+E59+F59+I59+J59)</f>
        <v/>
      </c>
      <c r="L59" s="83">
        <f>IF($A59="","",G59+H59)</f>
        <v/>
      </c>
      <c r="M59" s="83">
        <f>IF($A59="","",K59+L59)</f>
        <v/>
      </c>
    </row>
    <row r="60" ht="15" customHeight="1" s="71">
      <c r="A60" s="82">
        <f>IF('Livre de paie'!A60="","",'Livre de paie'!A60)</f>
        <v/>
      </c>
      <c r="B60" s="82">
        <f>IF($A60="","",'Livre de paie'!B60)</f>
        <v/>
      </c>
      <c r="C60" s="83">
        <f>IF($A60="","",'Livre de paie'!I60)</f>
        <v/>
      </c>
      <c r="D60" s="83">
        <f>IF($A60="","",ROUND('Livre de paie'!U60/(1+TX_CAC),0))</f>
        <v/>
      </c>
      <c r="E60" s="83">
        <f>IF($A60="","",'Livre de paie'!U60-D60)</f>
        <v/>
      </c>
      <c r="F60" s="83">
        <f>IF($A60="","",'Livre de paie'!O60)</f>
        <v/>
      </c>
      <c r="G60" s="83">
        <f>IF($A60="","",'Livre de paie'!P60)</f>
        <v/>
      </c>
      <c r="H60" s="83">
        <f>IF($A60="","",'Livre de paie'!Q60)</f>
        <v/>
      </c>
      <c r="I60" s="83">
        <f>IF($A60="","",'Livre de paie'!R60)</f>
        <v/>
      </c>
      <c r="J60" s="83">
        <f>IF($A60="","",'Livre de paie'!S60)</f>
        <v/>
      </c>
      <c r="K60" s="83">
        <f>IF($A60="","",D60+E60+F60+I60+J60)</f>
        <v/>
      </c>
      <c r="L60" s="83">
        <f>IF($A60="","",G60+H60)</f>
        <v/>
      </c>
      <c r="M60" s="83">
        <f>IF($A60="","",K60+L60)</f>
        <v/>
      </c>
    </row>
    <row r="61" ht="15" customHeight="1" s="71">
      <c r="A61" s="82">
        <f>IF('Livre de paie'!A61="","",'Livre de paie'!A61)</f>
        <v/>
      </c>
      <c r="B61" s="82">
        <f>IF($A61="","",'Livre de paie'!B61)</f>
        <v/>
      </c>
      <c r="C61" s="83">
        <f>IF($A61="","",'Livre de paie'!I61)</f>
        <v/>
      </c>
      <c r="D61" s="83">
        <f>IF($A61="","",ROUND('Livre de paie'!U61/(1+TX_CAC),0))</f>
        <v/>
      </c>
      <c r="E61" s="83">
        <f>IF($A61="","",'Livre de paie'!U61-D61)</f>
        <v/>
      </c>
      <c r="F61" s="83">
        <f>IF($A61="","",'Livre de paie'!O61)</f>
        <v/>
      </c>
      <c r="G61" s="83">
        <f>IF($A61="","",'Livre de paie'!P61)</f>
        <v/>
      </c>
      <c r="H61" s="83">
        <f>IF($A61="","",'Livre de paie'!Q61)</f>
        <v/>
      </c>
      <c r="I61" s="83">
        <f>IF($A61="","",'Livre de paie'!R61)</f>
        <v/>
      </c>
      <c r="J61" s="83">
        <f>IF($A61="","",'Livre de paie'!S61)</f>
        <v/>
      </c>
      <c r="K61" s="83">
        <f>IF($A61="","",D61+E61+F61+I61+J61)</f>
        <v/>
      </c>
      <c r="L61" s="83">
        <f>IF($A61="","",G61+H61)</f>
        <v/>
      </c>
      <c r="M61" s="83">
        <f>IF($A61="","",K61+L61)</f>
        <v/>
      </c>
    </row>
    <row r="62" ht="15" customHeight="1" s="71">
      <c r="A62" s="82">
        <f>IF('Livre de paie'!A62="","",'Livre de paie'!A62)</f>
        <v/>
      </c>
      <c r="B62" s="82">
        <f>IF($A62="","",'Livre de paie'!B62)</f>
        <v/>
      </c>
      <c r="C62" s="83">
        <f>IF($A62="","",'Livre de paie'!I62)</f>
        <v/>
      </c>
      <c r="D62" s="83">
        <f>IF($A62="","",ROUND('Livre de paie'!U62/(1+TX_CAC),0))</f>
        <v/>
      </c>
      <c r="E62" s="83">
        <f>IF($A62="","",'Livre de paie'!U62-D62)</f>
        <v/>
      </c>
      <c r="F62" s="83">
        <f>IF($A62="","",'Livre de paie'!O62)</f>
        <v/>
      </c>
      <c r="G62" s="83">
        <f>IF($A62="","",'Livre de paie'!P62)</f>
        <v/>
      </c>
      <c r="H62" s="83">
        <f>IF($A62="","",'Livre de paie'!Q62)</f>
        <v/>
      </c>
      <c r="I62" s="83">
        <f>IF($A62="","",'Livre de paie'!R62)</f>
        <v/>
      </c>
      <c r="J62" s="83">
        <f>IF($A62="","",'Livre de paie'!S62)</f>
        <v/>
      </c>
      <c r="K62" s="83">
        <f>IF($A62="","",D62+E62+F62+I62+J62)</f>
        <v/>
      </c>
      <c r="L62" s="83">
        <f>IF($A62="","",G62+H62)</f>
        <v/>
      </c>
      <c r="M62" s="83">
        <f>IF($A62="","",K62+L62)</f>
        <v/>
      </c>
    </row>
    <row r="63" ht="15" customHeight="1" s="71">
      <c r="A63" s="82">
        <f>IF('Livre de paie'!A63="","",'Livre de paie'!A63)</f>
        <v/>
      </c>
      <c r="B63" s="82">
        <f>IF($A63="","",'Livre de paie'!B63)</f>
        <v/>
      </c>
      <c r="C63" s="83">
        <f>IF($A63="","",'Livre de paie'!I63)</f>
        <v/>
      </c>
      <c r="D63" s="83">
        <f>IF($A63="","",ROUND('Livre de paie'!U63/(1+TX_CAC),0))</f>
        <v/>
      </c>
      <c r="E63" s="83">
        <f>IF($A63="","",'Livre de paie'!U63-D63)</f>
        <v/>
      </c>
      <c r="F63" s="83">
        <f>IF($A63="","",'Livre de paie'!O63)</f>
        <v/>
      </c>
      <c r="G63" s="83">
        <f>IF($A63="","",'Livre de paie'!P63)</f>
        <v/>
      </c>
      <c r="H63" s="83">
        <f>IF($A63="","",'Livre de paie'!Q63)</f>
        <v/>
      </c>
      <c r="I63" s="83">
        <f>IF($A63="","",'Livre de paie'!R63)</f>
        <v/>
      </c>
      <c r="J63" s="83">
        <f>IF($A63="","",'Livre de paie'!S63)</f>
        <v/>
      </c>
      <c r="K63" s="83">
        <f>IF($A63="","",D63+E63+F63+I63+J63)</f>
        <v/>
      </c>
      <c r="L63" s="83">
        <f>IF($A63="","",G63+H63)</f>
        <v/>
      </c>
      <c r="M63" s="83">
        <f>IF($A63="","",K63+L63)</f>
        <v/>
      </c>
    </row>
    <row r="64" ht="15" customHeight="1" s="71">
      <c r="A64" s="82">
        <f>IF('Livre de paie'!A64="","",'Livre de paie'!A64)</f>
        <v/>
      </c>
      <c r="B64" s="82">
        <f>IF($A64="","",'Livre de paie'!B64)</f>
        <v/>
      </c>
      <c r="C64" s="83">
        <f>IF($A64="","",'Livre de paie'!I64)</f>
        <v/>
      </c>
      <c r="D64" s="83">
        <f>IF($A64="","",ROUND('Livre de paie'!U64/(1+TX_CAC),0))</f>
        <v/>
      </c>
      <c r="E64" s="83">
        <f>IF($A64="","",'Livre de paie'!U64-D64)</f>
        <v/>
      </c>
      <c r="F64" s="83">
        <f>IF($A64="","",'Livre de paie'!O64)</f>
        <v/>
      </c>
      <c r="G64" s="83">
        <f>IF($A64="","",'Livre de paie'!P64)</f>
        <v/>
      </c>
      <c r="H64" s="83">
        <f>IF($A64="","",'Livre de paie'!Q64)</f>
        <v/>
      </c>
      <c r="I64" s="83">
        <f>IF($A64="","",'Livre de paie'!R64)</f>
        <v/>
      </c>
      <c r="J64" s="83">
        <f>IF($A64="","",'Livre de paie'!S64)</f>
        <v/>
      </c>
      <c r="K64" s="83">
        <f>IF($A64="","",D64+E64+F64+I64+J64)</f>
        <v/>
      </c>
      <c r="L64" s="83">
        <f>IF($A64="","",G64+H64)</f>
        <v/>
      </c>
      <c r="M64" s="83">
        <f>IF($A64="","",K64+L64)</f>
        <v/>
      </c>
    </row>
    <row r="66" ht="15" customHeight="1" s="71">
      <c r="A66" s="108" t="inlineStr">
        <is>
          <t>TOTAL À REVERSER À LA DGI</t>
        </is>
      </c>
      <c r="C66" s="109">
        <f>SUM(C5:C64)</f>
        <v/>
      </c>
      <c r="D66" s="109">
        <f>SUM(D5:D64)</f>
        <v/>
      </c>
      <c r="E66" s="109">
        <f>SUM(E5:E64)</f>
        <v/>
      </c>
      <c r="F66" s="109">
        <f>SUM(F5:F64)</f>
        <v/>
      </c>
      <c r="G66" s="109">
        <f>SUM(G5:G64)</f>
        <v/>
      </c>
      <c r="H66" s="109">
        <f>SUM(H5:H64)</f>
        <v/>
      </c>
      <c r="I66" s="109">
        <f>SUM(I5:I64)</f>
        <v/>
      </c>
      <c r="J66" s="109">
        <f>SUM(J5:J64)</f>
        <v/>
      </c>
      <c r="K66" s="109">
        <f>SUM(K5:K64)</f>
        <v/>
      </c>
      <c r="L66" s="109">
        <f>SUM(L5:L64)</f>
        <v/>
      </c>
      <c r="M66" s="109">
        <f>SUM(M5:M64)</f>
        <v/>
      </c>
    </row>
    <row r="69" ht="15" customHeight="1" s="71">
      <c r="A69" s="80" t="inlineStr">
        <is>
          <t>BORDEREAU DE VERSEMENT DGI</t>
        </is>
      </c>
    </row>
    <row r="70" ht="15" customHeight="1" s="71">
      <c r="A70" s="89" t="inlineStr">
        <is>
          <t>IRPP retenu à la source</t>
        </is>
      </c>
      <c r="D70" s="139">
        <f>D66</f>
        <v/>
      </c>
    </row>
    <row r="71" ht="15" customHeight="1" s="71">
      <c r="A71" s="89" t="inlineStr">
        <is>
          <t>Centimes Additionnels Communaux (CAC)</t>
        </is>
      </c>
      <c r="D71" s="139">
        <f>E66</f>
        <v/>
      </c>
    </row>
    <row r="72" ht="15" customHeight="1" s="71">
      <c r="A72" s="89" t="inlineStr">
        <is>
          <t>CFC part salariale</t>
        </is>
      </c>
      <c r="D72" s="139">
        <f>F66</f>
        <v/>
      </c>
    </row>
    <row r="73" ht="15" customHeight="1" s="71">
      <c r="A73" s="89" t="inlineStr">
        <is>
          <t>CFC part patronale</t>
        </is>
      </c>
      <c r="D73" s="139">
        <f>G66</f>
        <v/>
      </c>
    </row>
    <row r="74" ht="15" customHeight="1" s="71">
      <c r="A74" s="89" t="inlineStr">
        <is>
          <t>FNE part patronale</t>
        </is>
      </c>
      <c r="D74" s="139">
        <f>H66</f>
        <v/>
      </c>
    </row>
    <row r="75" ht="15" customHeight="1" s="71">
      <c r="A75" s="89" t="inlineStr">
        <is>
          <t>Taxe Communale (TC)</t>
        </is>
      </c>
      <c r="D75" s="139">
        <f>I66</f>
        <v/>
      </c>
    </row>
    <row r="76" ht="15" customHeight="1" s="71">
      <c r="A76" s="89" t="inlineStr">
        <is>
          <t>Redevance Audiovisuelle (RAV)</t>
        </is>
      </c>
      <c r="D76" s="139">
        <f>J66</f>
        <v/>
      </c>
    </row>
    <row r="77" ht="15" customHeight="1" s="71">
      <c r="A77" s="88" t="inlineStr">
        <is>
          <t>TOTAL GÉNÉRAL À REVERSER</t>
        </is>
      </c>
      <c r="D77" s="103">
        <f>M66</f>
        <v/>
      </c>
    </row>
  </sheetData>
  <mergeCells count="2">
    <mergeCell ref="A2:M2"/>
    <mergeCell ref="A1:M1"/>
  </mergeCell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1.xml><?xml version="1.0" encoding="utf-8"?>
<worksheet xmlns="http://schemas.openxmlformats.org/spreadsheetml/2006/main">
  <sheetPr filterMode="0">
    <outlinePr summaryBelow="1" summaryRight="1"/>
    <pageSetUpPr fitToPage="0"/>
  </sheetPr>
  <dimension ref="A1:A22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71484375" defaultRowHeight="15" zeroHeight="0" outlineLevelRow="0"/>
  <cols>
    <col width="140" customWidth="1" style="70" min="1" max="1"/>
  </cols>
  <sheetData>
    <row r="1" ht="15" customHeight="1" s="71">
      <c r="A1" s="136" t="inlineStr">
        <is>
          <t>GUIDE DÉVELOPPEUR — MOTEUR DE PAIE ÉCLOSION V2</t>
        </is>
      </c>
    </row>
    <row r="2" ht="15" customHeight="1" s="71">
      <c r="A2" s="136" t="n"/>
    </row>
    <row r="3" ht="15" customHeight="1" s="71">
      <c r="A3" s="136" t="inlineStr">
        <is>
          <t>ARCHITECTURE (10 onglets) :</t>
        </is>
      </c>
    </row>
    <row r="4" ht="21.75" customHeight="1" s="71">
      <c r="A4" s="136" t="inlineStr">
        <is>
          <t>Accueil (statique) · Tableau de bord (calculé) · Paramètres (versionné) · Employés (saisie, 60 lignes 5:64) · Retenues internes (prêts 5:34, journal 41:1040) · Livre de paie (MOTEUR UNIQUE, lignes 5:64, totaux 65) · Journal de paie (archive macro, jamais manuel) · Déclarations CNPS · Déclarations fiscales · Bulletin (universel).</t>
        </is>
      </c>
    </row>
    <row r="5" ht="15" customHeight="1" s="71">
      <c r="A5" s="136" t="n"/>
    </row>
    <row r="6" ht="32.25" customHeight="1" s="71">
      <c r="A6" s="136" t="inlineStr">
        <is>
          <t>PLAGES NOMMÉES : PERIODE_DATE, PERIODE_LIBELLE, DATE_PAIEMENT, TX_VID_SAL, TX_VID_PAT, TX_PF, TX_AT, PLAFOND_CNPS, ABAT_PCT, ABAT_FIXE, TX_CAC, TX_CFC_SAL, TX_CFC_PAT, TX_FNE, COEF_ASSIETTE, HEURES_MOIS, TX_ANC_DEF, IRPP_P1..P3, IRPP_T1..T4, TC_S1, TC_S2, TC_V1..V3, RAV_V1..V3, LISTE_DEPTS, LISTE_MATRICULES.</t>
        </is>
      </c>
    </row>
    <row r="7" ht="15" customHeight="1" s="71">
      <c r="A7" s="136" t="n"/>
    </row>
    <row r="8" ht="21.75" customHeight="1" s="71">
      <c r="A8" s="136" t="inlineStr">
        <is>
          <t>PARAMÈTRES VERSIONNÉS : les taux actifs (C45:C58) sont résolus par LOOKUP(2,1/((code)*(date_effet&lt;=période)),valeurs). CONTRAINTE : ordre chronologique par code dans la table (nouvelles lignes en dessous). Idem barèmes IRPP (ligne active 70) et TC/RAV (ligne active 81).</t>
        </is>
      </c>
    </row>
    <row r="9" ht="15" customHeight="1" s="71">
      <c r="A9" s="136" t="n"/>
    </row>
    <row r="10" ht="15" customHeight="1" s="71">
      <c r="A10" s="136" t="inlineStr">
        <is>
          <t>MOTEUR (Livre de paie) — colonnes :</t>
        </is>
      </c>
    </row>
    <row r="11" ht="42.75" customHeight="1" s="71">
      <c r="A11" s="136" t="inlineStr">
        <is>
          <t>A Mat · B Nom · C Dept · D Base(Emp K) · E Compl(Emp L) · F Prime anc(base×taux si U=Oui et R&gt;=T) · G Absence(SUMIFS journal ret.) · H BRUT=D+E+F-G · I Assiette fiscale=Emp M+F-G · J Assiette CNPS=MIN(I×COEF;PLAFOND) · K-N cotisations CNPS · O-Q CFC/FNE sur I · R TC / S RAV (barème sur H) · T RNI annuel/part=(I×12×(1-ABAT_PCT)-ABAT_FIXE)/parts si V=Oui · U IRPP+CAC=barème(T)×(1+CAC)/12 · V-Y retenues internes détail · Z total ret.int. · AA tot.ret.sal=K+O+R+S+U · AB tot.ch.pat=L+M+N+P+Q · AC NET=H-AA-Z · AD coût=H+AB.</t>
        </is>
      </c>
    </row>
    <row r="12" ht="15" customHeight="1" s="71">
      <c r="A12" s="136" t="inlineStr">
        <is>
          <t>NB : logique quotient familial conservée à l'identique de la V1 (division du RNI par les parts, sans re-multiplication) — validée par le comptable.</t>
        </is>
      </c>
    </row>
    <row r="13" ht="15" customHeight="1" s="71">
      <c r="A13" s="136" t="n"/>
    </row>
    <row r="14" ht="21.75" customHeight="1" s="71">
      <c r="A14" s="136" t="inlineStr">
        <is>
          <t>JOURNAL DE PAIE — 27 colonnes : Période(date 1er du mois), Matricule, Nom, Dept, puis colonnes E..Z = Livre D..S + U + Z + AA + AB + AC + AD, AA(27)=date de clôture. Mapping macro : Livre [A..S,U,Z,AA,AB,AC,AD] → Journal [A décalé]. Anti-doublon : COUNTIF période.</t>
        </is>
      </c>
    </row>
    <row r="15" ht="15" customHeight="1" s="71">
      <c r="A15" s="136" t="n"/>
    </row>
    <row r="16" ht="32.25" customHeight="1" s="71">
      <c r="A16" s="136" t="inlineStr">
        <is>
          <t>BULLETIN — mode double : si D3=PERIODE_DATE lecture INDEX/MATCH sur Livre ; sinon SUMIFS sur Journal (bulletin rééditable à vie). Retenues internes toujours détaillées via SUMIFS sur l'onglet Retenues internes (historique complet). Les taux affichés dans les libellés suivent les paramètres ACTIFS de la période en cours — en mode archive, seuls les montants font foi.</t>
        </is>
      </c>
    </row>
    <row r="17" ht="15" customHeight="1" s="71">
      <c r="A17" s="136" t="n"/>
    </row>
    <row r="18" ht="21.75" customHeight="1" s="71">
      <c r="A18" s="136" t="inlineStr">
        <is>
          <t>PROTECTION : toutes les feuilles protégées, mot de passe ECL2026. Cellules bleues = déverrouillées (saisie libre). Macros DeverrouillerTout/VerrouillerTout dans le module VBA (constante MOT_DE_PASSE_ADMIN à synchroniser si changement).</t>
        </is>
      </c>
    </row>
    <row r="19" ht="15" customHeight="1" s="71">
      <c r="A19" s="136" t="n"/>
    </row>
    <row r="20" ht="15" customHeight="1" s="71">
      <c r="A20" s="136" t="inlineStr">
        <is>
          <t>MACROS (Module_Paie_Eclosion.bas) : CloturerMois, GenererBulletinsPDF, EnvoyerBulletinsParEmail, DeverrouillerTout, VerrouillerTout. Voir commentaires dans le module.</t>
        </is>
      </c>
    </row>
    <row r="21" ht="15" customHeight="1" s="71">
      <c r="A21" s="136" t="n"/>
    </row>
    <row r="22" ht="21.75" customHeight="1" s="71">
      <c r="A22" s="136" t="inlineStr">
        <is>
          <t>CAPACITÉS : 60 salariés · 1 000 lignes journal retenues (~16 ans à 5 salariés, extensible : insérer des lignes AVANT la ligne 1040 puis prolonger les formules C et I) · Journal de paie illimité (append) · Tableau de bord 2026-2045.</t>
        </is>
      </c>
    </row>
  </sheetData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2026-07-03T06:53:36Z</dcterms:created>
  <dcterms:modified xmlns:dcterms="http://purl.org/dc/terms/" xmlns:xsi="http://www.w3.org/2001/XMLSchema-instance" xsi:type="dcterms:W3CDTF">2026-07-09T22:48:54Z</dcterms:modified>
  <cp:revision>6</cp:revision>
</cp:coreProperties>
</file>